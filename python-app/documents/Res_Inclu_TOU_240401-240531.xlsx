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24226"/>
  <mc:AlternateContent xmlns:mc="http://schemas.openxmlformats.org/markup-compatibility/2006">
    <mc:Choice Requires="x15">
      <x15ac:absPath xmlns:x15ac="http://schemas.microsoft.com/office/spreadsheetml/2010/11/ac" url="\\Fairfield03\Rates\GR\Gas Rates\Individual Work\liz\HistElecRates\InternetElectricFilesExcel(Simon)\Res and Res TOU\"/>
    </mc:Choice>
  </mc:AlternateContent>
  <xr:revisionPtr revIDLastSave="0" documentId="8_{55C5CC98-7C4F-4EB9-BF91-4040A9EA6F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 Inclu TOU_240401-240531" sheetId="1" r:id="rId1"/>
    <sheet name="ElecVehicle&amp;Tech_240401-240531" sheetId="15" r:id="rId2"/>
    <sheet name="ElecBaselineEffec220601-Present" sheetId="13" r:id="rId3"/>
    <sheet name="EM-TOU TOU Periods_Jan2022" sheetId="3" r:id="rId4"/>
    <sheet name="E-TOU-B-C-D_TOU Periods" sheetId="14" r:id="rId5"/>
    <sheet name="EV_EV2_E-ELEC_TOU Periods" sheetId="6" r:id="rId6"/>
  </sheets>
  <externalReferences>
    <externalReference r:id="rId7"/>
    <externalReference r:id="rId8"/>
    <externalReference r:id="rId9"/>
  </externalReferences>
  <definedNames>
    <definedName name="_xlnm.Print_Area" localSheetId="2">'ElecBaselineEffec220601-Present'!$A$1:$I$42</definedName>
    <definedName name="_xlnm.Print_Area" localSheetId="1">'ElecVehicle&amp;Tech_240401-240531'!$A$1:$K$42</definedName>
    <definedName name="_xlnm.Print_Area" localSheetId="3">'EM-TOU TOU Periods_Jan2022'!$A$1:$E$21</definedName>
    <definedName name="_xlnm.Print_Area" localSheetId="4">'E-TOU-B-C-D_TOU Periods'!$A$1:$F$35</definedName>
    <definedName name="_xlnm.Print_Area" localSheetId="5">'EV_EV2_E-ELEC_TOU Periods'!$A$1:$E$43</definedName>
    <definedName name="_xlnm.Print_Area" localSheetId="0">'Res Inclu TOU_240401-240531'!$A$1:$L$38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17" i="1" l="1"/>
  <c r="L15" i="1"/>
  <c r="L13" i="1"/>
  <c r="L11" i="1"/>
  <c r="L9" i="1"/>
  <c r="L7" i="1"/>
  <c r="L3" i="1"/>
  <c r="D11" i="1"/>
  <c r="I36" i="13" l="1"/>
  <c r="G36" i="13"/>
  <c r="D36" i="13"/>
  <c r="B36" i="13"/>
  <c r="I35" i="13"/>
  <c r="G35" i="13"/>
  <c r="D35" i="13"/>
  <c r="B35" i="13"/>
  <c r="I34" i="13"/>
  <c r="G34" i="13"/>
  <c r="D34" i="13"/>
  <c r="B34" i="13"/>
  <c r="I33" i="13"/>
  <c r="G33" i="13"/>
  <c r="D33" i="13"/>
  <c r="B33" i="13"/>
  <c r="I32" i="13"/>
  <c r="G32" i="13"/>
  <c r="D32" i="13"/>
  <c r="B32" i="13"/>
  <c r="I31" i="13"/>
  <c r="G31" i="13"/>
  <c r="D31" i="13"/>
  <c r="B31" i="13"/>
  <c r="I30" i="13"/>
  <c r="G30" i="13"/>
  <c r="D30" i="13"/>
  <c r="B30" i="13"/>
  <c r="I29" i="13"/>
  <c r="G29" i="13"/>
  <c r="D29" i="13"/>
  <c r="B29" i="13"/>
  <c r="I28" i="13"/>
  <c r="G28" i="13"/>
  <c r="D28" i="13"/>
  <c r="B28" i="13"/>
  <c r="I27" i="13"/>
  <c r="G27" i="13"/>
  <c r="D27" i="13"/>
  <c r="B27" i="13"/>
  <c r="I23" i="13"/>
  <c r="G23" i="13"/>
  <c r="D23" i="13"/>
  <c r="B23" i="13"/>
  <c r="I22" i="13"/>
  <c r="G22" i="13"/>
  <c r="D22" i="13"/>
  <c r="B22" i="13"/>
  <c r="I21" i="13"/>
  <c r="G21" i="13"/>
  <c r="D21" i="13"/>
  <c r="B21" i="13"/>
  <c r="I20" i="13"/>
  <c r="G20" i="13"/>
  <c r="D20" i="13"/>
  <c r="B20" i="13"/>
  <c r="I19" i="13"/>
  <c r="G19" i="13"/>
  <c r="D19" i="13"/>
  <c r="B19" i="13"/>
  <c r="I18" i="13"/>
  <c r="G18" i="13"/>
  <c r="D18" i="13"/>
  <c r="B18" i="13"/>
  <c r="I17" i="13"/>
  <c r="G17" i="13"/>
  <c r="D17" i="13"/>
  <c r="B17" i="13"/>
  <c r="I16" i="13"/>
  <c r="G16" i="13"/>
  <c r="D16" i="13"/>
  <c r="B16" i="13"/>
  <c r="I15" i="13"/>
  <c r="G15" i="13"/>
  <c r="D15" i="13"/>
  <c r="B15" i="13"/>
  <c r="I14" i="13"/>
  <c r="G14" i="13"/>
  <c r="D14" i="13"/>
  <c r="B14" i="13"/>
  <c r="I25" i="15"/>
  <c r="I24" i="15"/>
  <c r="I23" i="15"/>
  <c r="I22" i="15"/>
  <c r="I21" i="15"/>
  <c r="K20" i="15"/>
  <c r="I20" i="15"/>
  <c r="D20" i="15"/>
  <c r="I19" i="15"/>
  <c r="I18" i="15"/>
  <c r="I17" i="15"/>
  <c r="I16" i="15"/>
  <c r="I15" i="15"/>
  <c r="K14" i="15"/>
  <c r="I14" i="15"/>
  <c r="C14" i="15"/>
  <c r="E8" i="15"/>
  <c r="I13" i="15"/>
  <c r="I12" i="15"/>
  <c r="I11" i="15"/>
  <c r="I10" i="15"/>
  <c r="I9" i="15"/>
  <c r="I8" i="15"/>
  <c r="I7" i="15"/>
  <c r="I6" i="15"/>
  <c r="I5" i="15"/>
  <c r="I4" i="15"/>
  <c r="I3" i="15"/>
  <c r="K2" i="15"/>
  <c r="I2" i="15"/>
  <c r="C2" i="15"/>
  <c r="H18" i="1"/>
  <c r="H17" i="1"/>
  <c r="H16" i="1"/>
  <c r="K15" i="1"/>
  <c r="H15" i="1"/>
  <c r="C15" i="1"/>
  <c r="I14" i="1"/>
  <c r="H14" i="1"/>
  <c r="I13" i="1"/>
  <c r="H13" i="1"/>
  <c r="I12" i="1"/>
  <c r="H12" i="1"/>
  <c r="K11" i="1"/>
  <c r="I11" i="1"/>
  <c r="H11" i="1"/>
  <c r="C11" i="1"/>
  <c r="H10" i="1"/>
  <c r="H9" i="1"/>
  <c r="H8" i="1"/>
  <c r="K7" i="1"/>
  <c r="H7" i="1"/>
  <c r="C7" i="1"/>
  <c r="E4" i="1"/>
  <c r="J14" i="15"/>
  <c r="J15" i="1"/>
  <c r="J11" i="1"/>
  <c r="J7" i="1"/>
  <c r="J3" i="1"/>
  <c r="F3" i="1"/>
  <c r="E3" i="1"/>
  <c r="K3" i="1"/>
  <c r="I3" i="1"/>
  <c r="H3" i="1"/>
  <c r="G3" i="1"/>
  <c r="C3" i="1"/>
  <c r="J20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tc={CF528E68-FD3F-42D3-BC74-C05E2790FA78}</author>
  </authors>
  <commentList>
    <comment ref="D11" authorId="0" shapeId="0" xr:uid="{CF528E68-FD3F-42D3-BC74-C05E2790FA78}">
      <text>
        <t>[Threaded comment]
Your version of Excel allows you to read this threaded comment; however, any edits to it will get removed if the file is opened in a newer version of Excel. Learn more: https://go.microsoft.com/fwlink/?linkid=870924
Comment:
    @Bacon, Liz. The EM-TOU schedule has a total meter charge but the E-TOU-C schedule does not. I believe we combined these two schedules under Ben's guidance. Will I need to break them back out to accurately report the rates or can I add in a one-time foot note?
Reply:
    Foot note added</t>
      </text>
    </comment>
  </commentList>
</comments>
</file>

<file path=xl/sharedStrings.xml><?xml version="1.0" encoding="utf-8"?>
<sst xmlns="http://schemas.openxmlformats.org/spreadsheetml/2006/main" count="355" uniqueCount="161">
  <si>
    <t>Rate Schedule</t>
  </si>
  <si>
    <t>Rate Design</t>
  </si>
  <si>
    <r>
      <t xml:space="preserve">Delivery Minimum Bill Amount </t>
    </r>
    <r>
      <rPr>
        <vertAlign val="superscript"/>
        <sz val="10"/>
        <rFont val="Arial"/>
        <family val="2"/>
      </rPr>
      <t>1/</t>
    </r>
    <r>
      <rPr>
        <b/>
        <sz val="8"/>
        <rFont val="Arial"/>
        <family val="2"/>
      </rPr>
      <t xml:space="preserve"> 
</t>
    </r>
    <r>
      <rPr>
        <sz val="8"/>
        <rFont val="Arial"/>
        <family val="2"/>
      </rPr>
      <t xml:space="preserve">($ per meter per day) </t>
    </r>
  </si>
  <si>
    <r>
      <t xml:space="preserve">Discount
</t>
    </r>
    <r>
      <rPr>
        <sz val="8"/>
        <rFont val="Arial"/>
        <family val="2"/>
      </rPr>
      <t>($ per dwelling 
unit per day)</t>
    </r>
  </si>
  <si>
    <r>
      <t xml:space="preserve">Minimum
Average Rate
Limiter
</t>
    </r>
    <r>
      <rPr>
        <sz val="8"/>
        <color indexed="8"/>
        <rFont val="Arial"/>
        <family val="2"/>
      </rPr>
      <t>($ per kWh 
per month)</t>
    </r>
  </si>
  <si>
    <r>
      <t xml:space="preserve">Energy Charge </t>
    </r>
    <r>
      <rPr>
        <vertAlign val="superscript"/>
        <sz val="10"/>
        <rFont val="Arial"/>
        <family val="2"/>
      </rPr>
      <t xml:space="preserve">2/ </t>
    </r>
    <r>
      <rPr>
        <b/>
        <vertAlign val="superscript"/>
        <sz val="10"/>
        <rFont val="Arial"/>
        <family val="2"/>
      </rPr>
      <t xml:space="preserve">  
</t>
    </r>
    <r>
      <rPr>
        <sz val="8"/>
        <rFont val="Arial"/>
        <family val="2"/>
      </rPr>
      <t>($/kWh)</t>
    </r>
  </si>
  <si>
    <r>
      <t xml:space="preserve">D-CARE </t>
    </r>
    <r>
      <rPr>
        <vertAlign val="superscript"/>
        <sz val="10"/>
        <rFont val="Arial"/>
        <family val="2"/>
      </rPr>
      <t>3/</t>
    </r>
    <r>
      <rPr>
        <b/>
        <sz val="10"/>
        <color rgb="FFFF0000"/>
        <rFont val="Arial"/>
        <family val="2"/>
      </rPr>
      <t xml:space="preserve">
</t>
    </r>
    <r>
      <rPr>
        <b/>
        <sz val="10"/>
        <rFont val="Arial"/>
        <family val="2"/>
      </rPr>
      <t>Line-Item Discount for 
California Alternate 
Rates for Energy (CARE) Customers</t>
    </r>
  </si>
  <si>
    <r>
      <t xml:space="preserve">California Climate Credit </t>
    </r>
    <r>
      <rPr>
        <vertAlign val="superscript"/>
        <sz val="10"/>
        <rFont val="Arial"/>
        <family val="2"/>
      </rPr>
      <t>4/
(March &amp; Oct Bill)</t>
    </r>
  </si>
  <si>
    <r>
      <t xml:space="preserve">"Average"
Bundled 
Total Rate </t>
    </r>
    <r>
      <rPr>
        <vertAlign val="superscript"/>
        <sz val="10"/>
        <rFont val="Arial"/>
        <family val="2"/>
      </rPr>
      <t xml:space="preserve">5/
</t>
    </r>
    <r>
      <rPr>
        <sz val="8"/>
        <rFont val="Arial"/>
        <family val="2"/>
      </rPr>
      <t xml:space="preserve">($ per kWh) </t>
    </r>
  </si>
  <si>
    <t xml:space="preserve">ES, ET Only </t>
  </si>
  <si>
    <t>ES, ET Only</t>
  </si>
  <si>
    <r>
      <t xml:space="preserve">Tier 1 Usage 
(0% - 100% of 
Baseline) </t>
    </r>
    <r>
      <rPr>
        <vertAlign val="superscript"/>
        <sz val="10"/>
        <rFont val="Arial"/>
        <family val="2"/>
      </rPr>
      <t>6/</t>
    </r>
  </si>
  <si>
    <r>
      <t xml:space="preserve">Tier 2 Usage 
(101% - 400% of 
Baseline) </t>
    </r>
    <r>
      <rPr>
        <vertAlign val="superscript"/>
        <sz val="10"/>
        <rFont val="Arial"/>
        <family val="2"/>
      </rPr>
      <t>6/</t>
    </r>
  </si>
  <si>
    <r>
      <t xml:space="preserve">Tier 2 Usage 
Continued (Over
400% of Baseline) </t>
    </r>
    <r>
      <rPr>
        <vertAlign val="superscript"/>
        <sz val="10"/>
        <rFont val="Arial"/>
        <family val="2"/>
      </rPr>
      <t>6/</t>
    </r>
  </si>
  <si>
    <t>Residential Schedules:</t>
  </si>
  <si>
    <t xml:space="preserve">Tiered Energy Charges </t>
  </si>
  <si>
    <t xml:space="preserve">ES = </t>
  </si>
  <si>
    <t>E-1, EM, ES, ESR, ET</t>
  </si>
  <si>
    <t xml:space="preserve">ET = </t>
  </si>
  <si>
    <r>
      <t xml:space="preserve">Total Meter Charge Rate </t>
    </r>
    <r>
      <rPr>
        <vertAlign val="superscript"/>
        <sz val="10"/>
        <rFont val="Arial"/>
        <family val="2"/>
      </rPr>
      <t xml:space="preserve">7/
</t>
    </r>
    <r>
      <rPr>
        <sz val="8"/>
        <rFont val="Arial"/>
        <family val="2"/>
      </rPr>
      <t>($ per meter per day)</t>
    </r>
  </si>
  <si>
    <t xml:space="preserve">Season
</t>
  </si>
  <si>
    <t>Time-of-Use Period</t>
  </si>
  <si>
    <r>
      <t xml:space="preserve">Energy Charge </t>
    </r>
    <r>
      <rPr>
        <vertAlign val="superscript"/>
        <sz val="10"/>
        <rFont val="Arial"/>
        <family val="2"/>
      </rPr>
      <t xml:space="preserve">2/
</t>
    </r>
    <r>
      <rPr>
        <sz val="8"/>
        <rFont val="Arial"/>
        <family val="2"/>
      </rPr>
      <t>($/kWh)</t>
    </r>
  </si>
  <si>
    <r>
      <t xml:space="preserve">California Climate Credit </t>
    </r>
    <r>
      <rPr>
        <vertAlign val="superscript"/>
        <sz val="10"/>
        <rFont val="Arial"/>
        <family val="2"/>
      </rPr>
      <t>4/
(April &amp; Oct Bill)</t>
    </r>
  </si>
  <si>
    <r>
      <t xml:space="preserve">"Average"
Total Rate </t>
    </r>
    <r>
      <rPr>
        <vertAlign val="superscript"/>
        <sz val="10"/>
        <rFont val="Arial"/>
        <family val="2"/>
      </rPr>
      <t xml:space="preserve">5/
</t>
    </r>
    <r>
      <rPr>
        <sz val="8"/>
        <rFont val="Arial"/>
        <family val="2"/>
      </rPr>
      <t xml:space="preserve">($ per kWh) </t>
    </r>
  </si>
  <si>
    <t>Total Usage</t>
  </si>
  <si>
    <r>
      <t xml:space="preserve">Baseline Credit
</t>
    </r>
    <r>
      <rPr>
        <sz val="8"/>
        <rFont val="Arial"/>
        <family val="2"/>
      </rPr>
      <t>(Applied to Baseline</t>
    </r>
    <r>
      <rPr>
        <sz val="10"/>
        <rFont val="Arial"/>
        <family val="2"/>
      </rPr>
      <t xml:space="preserve">
</t>
    </r>
    <r>
      <rPr>
        <sz val="8"/>
        <rFont val="Arial"/>
        <family val="2"/>
      </rPr>
      <t>Usage Only)</t>
    </r>
  </si>
  <si>
    <r>
      <t xml:space="preserve"> Residential Time-of-Use
Rate Schedule E-TOU-B</t>
    </r>
    <r>
      <rPr>
        <b/>
        <sz val="10"/>
        <color rgb="FFFF0000"/>
        <rFont val="Arial"/>
        <family val="2"/>
      </rPr>
      <t xml:space="preserve"> </t>
    </r>
    <r>
      <rPr>
        <b/>
        <vertAlign val="superscript"/>
        <sz val="10"/>
        <rFont val="Arial"/>
        <family val="2"/>
      </rPr>
      <t>8/</t>
    </r>
    <r>
      <rPr>
        <b/>
        <sz val="10"/>
        <color rgb="FFFF0000"/>
        <rFont val="Arial"/>
        <family val="2"/>
      </rPr>
      <t xml:space="preserve">
</t>
    </r>
    <r>
      <rPr>
        <b/>
        <sz val="10"/>
        <rFont val="Arial"/>
        <family val="2"/>
      </rPr>
      <t>(4-9 p.m.)</t>
    </r>
  </si>
  <si>
    <t>Time-of-Day Winter and Summer Peak and Off-Peak Energy Charges</t>
  </si>
  <si>
    <t>-</t>
  </si>
  <si>
    <t>Summer</t>
  </si>
  <si>
    <t>Peak</t>
  </si>
  <si>
    <t>Off-Peak</t>
  </si>
  <si>
    <t>Winter</t>
  </si>
  <si>
    <r>
      <t xml:space="preserve"> Residential Time-of-Use
Rate Schedule E-TOU-C </t>
    </r>
    <r>
      <rPr>
        <b/>
        <vertAlign val="superscript"/>
        <sz val="10"/>
        <rFont val="Arial"/>
        <family val="2"/>
      </rPr>
      <t>9/</t>
    </r>
    <r>
      <rPr>
        <b/>
        <sz val="10"/>
        <rFont val="Arial"/>
        <family val="2"/>
      </rPr>
      <t xml:space="preserve"> and Rate Schedule EM-TOU </t>
    </r>
    <r>
      <rPr>
        <b/>
        <vertAlign val="superscript"/>
        <sz val="10"/>
        <rFont val="Arial"/>
        <family val="2"/>
      </rPr>
      <t>10/</t>
    </r>
    <r>
      <rPr>
        <b/>
        <sz val="10"/>
        <rFont val="Arial"/>
        <family val="2"/>
      </rPr>
      <t xml:space="preserve">  </t>
    </r>
    <r>
      <rPr>
        <b/>
        <sz val="10"/>
        <color indexed="10"/>
        <rFont val="Arial"/>
        <family val="2"/>
      </rPr>
      <t xml:space="preserve">
</t>
    </r>
    <r>
      <rPr>
        <b/>
        <sz val="8"/>
        <rFont val="Arial"/>
        <family val="2"/>
      </rPr>
      <t>(Peak Pricing 4 - 9 p.m. Every Day)</t>
    </r>
  </si>
  <si>
    <t>Time-of-Use Winter and Summer Peak and Off-Peak Energy Charges</t>
  </si>
  <si>
    <r>
      <t xml:space="preserve"> Residential Time-of-Use
NEW Rate Schedule E-TOU-D </t>
    </r>
    <r>
      <rPr>
        <b/>
        <vertAlign val="superscript"/>
        <sz val="10"/>
        <rFont val="Arial"/>
        <family val="2"/>
      </rPr>
      <t>11</t>
    </r>
    <r>
      <rPr>
        <vertAlign val="superscript"/>
        <sz val="10"/>
        <rFont val="Arial"/>
        <family val="2"/>
      </rPr>
      <t>/</t>
    </r>
    <r>
      <rPr>
        <b/>
        <sz val="10"/>
        <color indexed="10"/>
        <rFont val="Arial"/>
        <family val="2"/>
      </rPr>
      <t xml:space="preserve">
</t>
    </r>
    <r>
      <rPr>
        <b/>
        <sz val="8"/>
        <rFont val="Arial"/>
        <family val="2"/>
      </rPr>
      <t>(Peak Pricing 5 - 8 p.m. Non-Holiday Weekdays)</t>
    </r>
  </si>
  <si>
    <r>
      <t xml:space="preserve">1/  </t>
    </r>
    <r>
      <rPr>
        <sz val="9"/>
        <rFont val="Arial"/>
        <family val="2"/>
      </rPr>
      <t>Customers will receive a 50% discount on the delivery minimum bill amount, if applicable.  See Electric Schedule D-CARE for further details.</t>
    </r>
  </si>
  <si>
    <r>
      <t xml:space="preserve">2/  </t>
    </r>
    <r>
      <rPr>
        <sz val="9"/>
        <rFont val="Arial"/>
        <family val="2"/>
      </rPr>
      <t>See Actual Tariff for details on possible medical baseline allowances.</t>
    </r>
  </si>
  <si>
    <r>
      <t xml:space="preserve">3/  </t>
    </r>
    <r>
      <rPr>
        <sz val="9"/>
        <rFont val="Arial"/>
        <family val="2"/>
      </rPr>
      <t>Customers will receive a 34.964 percent discount on their total bundled charges on their otherwise applicable rate schedule (except CA Climate Credit).  See Electric Schedule D-CARE for further details.</t>
    </r>
  </si>
  <si>
    <r>
      <t xml:space="preserve">4/  </t>
    </r>
    <r>
      <rPr>
        <sz val="9"/>
        <rFont val="Arial"/>
        <family val="2"/>
      </rPr>
      <t xml:space="preserve">Residential bill credit per household, per semi-annual payment occurring in the March 2023 (per Advice Letter 6863-E) and October bill cycles.   </t>
    </r>
  </si>
  <si>
    <r>
      <t xml:space="preserve">5/  </t>
    </r>
    <r>
      <rPr>
        <sz val="9"/>
        <rFont val="Arial"/>
        <family val="2"/>
      </rPr>
      <t>Average bundled rates based on estimated forecast.  Average rates provided only for general reference, and individual customer's average rate will depend on its applicable kWh, and TOU data.</t>
    </r>
  </si>
  <si>
    <r>
      <t xml:space="preserve">6/  </t>
    </r>
    <r>
      <rPr>
        <sz val="9"/>
        <rFont val="Arial"/>
        <family val="2"/>
      </rPr>
      <t>For Baseline Territory and Quantity information, please view second tab in this file, additional online table or rate schedule in Online Tariff Book.</t>
    </r>
  </si>
  <si>
    <r>
      <t xml:space="preserve">7/  </t>
    </r>
    <r>
      <rPr>
        <sz val="9"/>
        <rFont val="Arial"/>
        <family val="2"/>
      </rPr>
      <t>In addition to the Delivery Minimum Bill Amount.</t>
    </r>
  </si>
  <si>
    <r>
      <t xml:space="preserve">8/  </t>
    </r>
    <r>
      <rPr>
        <sz val="9"/>
        <rFont val="Arial"/>
        <family val="2"/>
      </rPr>
      <t>E-TOU Option A was discontinued December 31, 2020 (see AL#4805-E-A).  This Schedule renamed to E-TOU-B effective January 1, 2021.</t>
    </r>
  </si>
  <si>
    <r>
      <t xml:space="preserve">9/  </t>
    </r>
    <r>
      <rPr>
        <sz val="9"/>
        <rFont val="Arial"/>
        <family val="2"/>
      </rPr>
      <t>For Rate Schedule E-TOU-C the Total Meter Charge does not apply.</t>
    </r>
  </si>
  <si>
    <r>
      <rPr>
        <vertAlign val="superscript"/>
        <sz val="9"/>
        <rFont val="Arial"/>
        <family val="2"/>
      </rPr>
      <t xml:space="preserve">10/  </t>
    </r>
    <r>
      <rPr>
        <sz val="9"/>
        <rFont val="Arial"/>
        <family val="2"/>
      </rPr>
      <t>Effective October 1, 2023, Rate Schedule EM-TOU was restructured with Peak and Off-Peak only.  See Advice Letter 7016-E for further details.  This was the only change for October 1, 2023. All other rates/tabs remain unchanged.</t>
    </r>
  </si>
  <si>
    <r>
      <t xml:space="preserve">11/  </t>
    </r>
    <r>
      <rPr>
        <sz val="9"/>
        <rFont val="Arial"/>
        <family val="2"/>
      </rPr>
      <t>New Schedule, effective May 1, 2020, see tariff and Advice Letter 5661-E-B, for further details.</t>
    </r>
  </si>
  <si>
    <t>NOTE: Rate Schedule E-6 was eliminated March 1, 2024, due to Advice Letter 7191-E.</t>
  </si>
  <si>
    <r>
      <rPr>
        <b/>
        <sz val="9"/>
        <rFont val="Arial"/>
        <family val="2"/>
      </rPr>
      <t>NOTE - Summer</t>
    </r>
    <r>
      <rPr>
        <sz val="9"/>
        <rFont val="Arial"/>
        <family val="2"/>
      </rPr>
      <t xml:space="preserve"> Season:  June-September     </t>
    </r>
    <r>
      <rPr>
        <b/>
        <sz val="9"/>
        <rFont val="Arial"/>
        <family val="2"/>
      </rPr>
      <t>Winter</t>
    </r>
    <r>
      <rPr>
        <sz val="9"/>
        <rFont val="Arial"/>
        <family val="2"/>
      </rPr>
      <t xml:space="preserve"> Season: October-May</t>
    </r>
  </si>
  <si>
    <t>This table provided for comparative purposes only.  See current tariffs for full information regarding rates, application, eligibility and additional options.</t>
  </si>
  <si>
    <t>NOTE - ABOVE Rates are Total Bundled Rates and Total Bundled Time-of-Use Rates</t>
  </si>
  <si>
    <t>Only Format Change to this Table, now Electric Vehicle Rates and NEW Electric Technology Rates on Next/New Tab labeled accordingly.</t>
  </si>
  <si>
    <t>Advice Letter 6603-E-A, implemented new Baseline Quantities</t>
  </si>
  <si>
    <r>
      <t xml:space="preserve">Base Services Charge </t>
    </r>
    <r>
      <rPr>
        <b/>
        <sz val="8"/>
        <rFont val="Arial"/>
        <family val="2"/>
      </rPr>
      <t xml:space="preserve"> 
</t>
    </r>
    <r>
      <rPr>
        <sz val="8"/>
        <rFont val="Arial"/>
        <family val="2"/>
      </rPr>
      <t xml:space="preserve">($ per meter per day) </t>
    </r>
  </si>
  <si>
    <r>
      <t xml:space="preserve">Total Meter Charge Rate </t>
    </r>
    <r>
      <rPr>
        <vertAlign val="superscript"/>
        <sz val="10"/>
        <rFont val="Arial"/>
        <family val="2"/>
      </rPr>
      <t xml:space="preserve">2/
</t>
    </r>
    <r>
      <rPr>
        <sz val="8"/>
        <rFont val="Arial"/>
        <family val="2"/>
      </rPr>
      <t>($ per meter per day)</t>
    </r>
  </si>
  <si>
    <t>Time-of-Use
Period</t>
  </si>
  <si>
    <r>
      <t xml:space="preserve">Energy Charge </t>
    </r>
    <r>
      <rPr>
        <vertAlign val="superscript"/>
        <sz val="10"/>
        <rFont val="Arial"/>
        <family val="2"/>
      </rPr>
      <t>3/</t>
    </r>
    <r>
      <rPr>
        <b/>
        <sz val="10"/>
        <rFont val="Arial"/>
        <family val="2"/>
      </rPr>
      <t xml:space="preserve">
</t>
    </r>
    <r>
      <rPr>
        <sz val="8"/>
        <rFont val="Arial"/>
        <family val="2"/>
      </rPr>
      <t>($/kWh) 
(No Tiers)</t>
    </r>
  </si>
  <si>
    <r>
      <t xml:space="preserve">D-CARE </t>
    </r>
    <r>
      <rPr>
        <vertAlign val="superscript"/>
        <sz val="10"/>
        <rFont val="Arial"/>
        <family val="2"/>
      </rPr>
      <t>4/</t>
    </r>
    <r>
      <rPr>
        <b/>
        <sz val="10"/>
        <color rgb="FFFF0000"/>
        <rFont val="Arial"/>
        <family val="2"/>
      </rPr>
      <t xml:space="preserve">
</t>
    </r>
    <r>
      <rPr>
        <sz val="10"/>
        <rFont val="Arial"/>
        <family val="2"/>
      </rPr>
      <t>Line-Item Discount for California
Alternate Rates for Energy (CARE) Customers</t>
    </r>
  </si>
  <si>
    <r>
      <t xml:space="preserve">California Climate Credit </t>
    </r>
    <r>
      <rPr>
        <vertAlign val="superscript"/>
        <sz val="10"/>
        <rFont val="Arial"/>
        <family val="2"/>
      </rPr>
      <t>5/
(March &amp; Oct Bill)</t>
    </r>
  </si>
  <si>
    <r>
      <t>Residential Time-of-Use Service
for Plug-In
Electric Vehicle, 
Rate Schedule EV, Rate A</t>
    </r>
    <r>
      <rPr>
        <b/>
        <sz val="10"/>
        <color indexed="10"/>
        <rFont val="Arial"/>
        <family val="2"/>
      </rPr>
      <t xml:space="preserve"> </t>
    </r>
    <r>
      <rPr>
        <vertAlign val="superscript"/>
        <sz val="10"/>
        <rFont val="Arial"/>
        <family val="2"/>
      </rPr>
      <t>6/</t>
    </r>
  </si>
  <si>
    <t>Time-of-Use Winter and Summer Peak, Part-Peak, and Off-Peak Energy Charges</t>
  </si>
  <si>
    <t>Part-Peak</t>
  </si>
  <si>
    <r>
      <t>Residential Time-of-Use Service
for Plug-In
Electric Vehicle, 
Rate Schedule EV, Rate B</t>
    </r>
    <r>
      <rPr>
        <b/>
        <sz val="10"/>
        <color indexed="10"/>
        <rFont val="Arial"/>
        <family val="2"/>
      </rPr>
      <t xml:space="preserve"> </t>
    </r>
    <r>
      <rPr>
        <b/>
        <sz val="10"/>
        <rFont val="Arial"/>
        <family val="2"/>
      </rPr>
      <t xml:space="preserve"> </t>
    </r>
    <r>
      <rPr>
        <vertAlign val="superscript"/>
        <sz val="10"/>
        <rFont val="Arial"/>
        <family val="2"/>
      </rPr>
      <t>6/</t>
    </r>
  </si>
  <si>
    <r>
      <t xml:space="preserve">Residential Time-of-Use Service
for Plug-In
Electric Vehicle, 
Rate Schedule EV2  </t>
    </r>
    <r>
      <rPr>
        <vertAlign val="superscript"/>
        <sz val="10"/>
        <rFont val="Arial"/>
        <family val="2"/>
      </rPr>
      <t>7/</t>
    </r>
    <r>
      <rPr>
        <b/>
        <sz val="10"/>
        <rFont val="Arial"/>
        <family val="2"/>
      </rPr>
      <t xml:space="preserve">  </t>
    </r>
  </si>
  <si>
    <r>
      <t xml:space="preserve">Residential Time-of-Use Service
(Electric Home)
Service for Customers with Qualifying
Electric Technologies 
Rate Schedule E-ELEC  </t>
    </r>
    <r>
      <rPr>
        <vertAlign val="superscript"/>
        <sz val="10"/>
        <rFont val="Arial"/>
        <family val="2"/>
      </rPr>
      <t>7/ 8/</t>
    </r>
  </si>
  <si>
    <r>
      <t xml:space="preserve">1/ </t>
    </r>
    <r>
      <rPr>
        <sz val="9"/>
        <rFont val="Arial"/>
        <family val="2"/>
      </rPr>
      <t>Customers will receive a 50% discount on the delivery minimum bill amount, if applicable.  See Electric Schedule D-CARE for further details.</t>
    </r>
  </si>
  <si>
    <r>
      <t xml:space="preserve">2/ </t>
    </r>
    <r>
      <rPr>
        <sz val="9"/>
        <rFont val="Arial"/>
        <family val="2"/>
      </rPr>
      <t>In addition to the Delivery Minimum Bill Amount.</t>
    </r>
  </si>
  <si>
    <r>
      <t xml:space="preserve">3/ </t>
    </r>
    <r>
      <rPr>
        <sz val="9"/>
        <rFont val="Arial"/>
        <family val="2"/>
      </rPr>
      <t>See Actual Tariff for details on possible medical baseline allowances.</t>
    </r>
  </si>
  <si>
    <r>
      <t xml:space="preserve">4/ </t>
    </r>
    <r>
      <rPr>
        <sz val="9"/>
        <rFont val="Arial"/>
        <family val="2"/>
      </rPr>
      <t>Customers will receive a 34.964 percent discount on their total bundled charges on their otherwise applicable rate schedule (except CA Climate Credit).  See Electric Schedule D-CARE for further details.</t>
    </r>
  </si>
  <si>
    <r>
      <t xml:space="preserve">5/ </t>
    </r>
    <r>
      <rPr>
        <sz val="9"/>
        <rFont val="Arial"/>
        <family val="2"/>
      </rPr>
      <t xml:space="preserve">Residential bill credit per household, per semi-annual payment occurring in the March 2023 (per Advice Letter 6863-E) and October bill cycles.   </t>
    </r>
  </si>
  <si>
    <r>
      <t xml:space="preserve">6/ </t>
    </r>
    <r>
      <rPr>
        <sz val="9"/>
        <rFont val="Arial"/>
        <family val="2"/>
      </rPr>
      <t xml:space="preserve">Summer Season:  May-Oct     Winter Season:  Nov-Apr  </t>
    </r>
  </si>
  <si>
    <r>
      <t xml:space="preserve">7/ </t>
    </r>
    <r>
      <rPr>
        <sz val="9"/>
        <rFont val="Arial"/>
        <family val="2"/>
      </rPr>
      <t xml:space="preserve">Summer Season:  Jun-Sep     Winter Season:  Oct-May  </t>
    </r>
  </si>
  <si>
    <r>
      <t xml:space="preserve">8/ </t>
    </r>
    <r>
      <rPr>
        <b/>
        <sz val="9"/>
        <rFont val="Arial"/>
        <family val="2"/>
      </rPr>
      <t>Schedule E-ELEC</t>
    </r>
    <r>
      <rPr>
        <sz val="9"/>
        <rFont val="Arial"/>
        <family val="2"/>
      </rPr>
      <t xml:space="preserve">, Advice Letter 6768-E, effective December 1, 2022. Applies to individually-metered electric service to residential customers who have one or more of the following qualifying electric technologies: </t>
    </r>
  </si>
  <si>
    <t xml:space="preserve">     -  Electric vehicle charging;</t>
  </si>
  <si>
    <t xml:space="preserve">     -  Energy storage; or</t>
  </si>
  <si>
    <t xml:space="preserve">     -  Electric heat pump for water heating or climate control (space heating and/or cooling).</t>
  </si>
  <si>
    <t>Customers taking service on this rate schedule whose otherwise applicable rate schedule has no Delivery Minimum Bill Amount (Schedule E-ELEC) will receive a CARE percentage discount of 35.000% on their total bundled charges</t>
  </si>
  <si>
    <t>(except for the California Climate Credit).  See D-CARE Rate Schedule  (Rates text section) for more details.</t>
  </si>
  <si>
    <t>Advice Letter 5831-E, Temporarily Reduce High Usage Surcharge, D. 20-05-013, effective June 1, 2020.</t>
  </si>
  <si>
    <t>Residential</t>
  </si>
  <si>
    <t>ELECTRIC</t>
  </si>
  <si>
    <t>Baseline Territories and Quantities</t>
  </si>
  <si>
    <t>Effective June 1, 2022 - Present</t>
  </si>
  <si>
    <r>
      <t xml:space="preserve">Winter </t>
    </r>
    <r>
      <rPr>
        <b/>
        <vertAlign val="superscript"/>
        <sz val="14"/>
        <rFont val="Arial"/>
        <family val="2"/>
      </rPr>
      <t>2/</t>
    </r>
  </si>
  <si>
    <r>
      <t xml:space="preserve">Summer </t>
    </r>
    <r>
      <rPr>
        <b/>
        <vertAlign val="superscript"/>
        <sz val="14"/>
        <rFont val="Arial"/>
        <family val="2"/>
      </rPr>
      <t>3/</t>
    </r>
  </si>
  <si>
    <t>(Effective beginning October 1, 2022)</t>
  </si>
  <si>
    <t>(Effective beginning June 1, 2022)</t>
  </si>
  <si>
    <t>TERRITORY</t>
  </si>
  <si>
    <t>INDIVIDUALLY METERED</t>
  </si>
  <si>
    <t>MASTER METERED</t>
  </si>
  <si>
    <r>
      <t>(E-1, ES, ET, E-6, ESR, E-TOU-C</t>
    </r>
    <r>
      <rPr>
        <vertAlign val="superscript"/>
        <sz val="8"/>
        <rFont val="Arial"/>
        <family val="2"/>
      </rPr>
      <t>4/</t>
    </r>
    <r>
      <rPr>
        <sz val="8"/>
        <rFont val="Arial"/>
        <family val="2"/>
      </rPr>
      <t xml:space="preserve"> and CARE)</t>
    </r>
  </si>
  <si>
    <t xml:space="preserve"> (EM, EM-TOU and CARE)</t>
  </si>
  <si>
    <t>ALL-ELEC.</t>
  </si>
  <si>
    <t>(Code H)</t>
  </si>
  <si>
    <r>
      <t>Daily</t>
    </r>
    <r>
      <rPr>
        <vertAlign val="superscript"/>
        <sz val="10"/>
        <rFont val="Arial"/>
        <family val="2"/>
      </rPr>
      <t>1/</t>
    </r>
  </si>
  <si>
    <t>P</t>
  </si>
  <si>
    <t>Q</t>
  </si>
  <si>
    <t>R</t>
  </si>
  <si>
    <t>S</t>
  </si>
  <si>
    <t>T</t>
  </si>
  <si>
    <t>V</t>
  </si>
  <si>
    <t>W</t>
  </si>
  <si>
    <t>X</t>
  </si>
  <si>
    <t>Y</t>
  </si>
  <si>
    <t>Z</t>
  </si>
  <si>
    <t>BASIC ELEC.</t>
  </si>
  <si>
    <t>(Code B)</t>
  </si>
  <si>
    <r>
      <t>1/</t>
    </r>
    <r>
      <rPr>
        <sz val="9"/>
        <rFont val="Arial"/>
        <family val="2"/>
      </rPr>
      <t>kWh per day</t>
    </r>
  </si>
  <si>
    <r>
      <rPr>
        <b/>
        <vertAlign val="superscript"/>
        <sz val="9"/>
        <rFont val="Arial"/>
        <family val="2"/>
      </rPr>
      <t>2/</t>
    </r>
    <r>
      <rPr>
        <b/>
        <sz val="9"/>
        <rFont val="Arial"/>
        <family val="2"/>
      </rPr>
      <t xml:space="preserve"> Winter Season:  October-May</t>
    </r>
  </si>
  <si>
    <r>
      <rPr>
        <b/>
        <vertAlign val="superscript"/>
        <sz val="9"/>
        <rFont val="Arial"/>
        <family val="2"/>
      </rPr>
      <t>3/</t>
    </r>
    <r>
      <rPr>
        <b/>
        <sz val="9"/>
        <rFont val="Arial"/>
        <family val="2"/>
      </rPr>
      <t xml:space="preserve"> Summer Season:  June-September</t>
    </r>
  </si>
  <si>
    <r>
      <t xml:space="preserve">4/ </t>
    </r>
    <r>
      <rPr>
        <b/>
        <sz val="9"/>
        <rFont val="Arial"/>
        <family val="2"/>
      </rPr>
      <t>E-TOU-C - These quantities of electricity are to be used to define usage eligible for the baseline credit</t>
    </r>
  </si>
  <si>
    <t>E-6 Time-of-Use Periods</t>
  </si>
  <si>
    <t>Summer  (June-September)</t>
  </si>
  <si>
    <t>Peak:</t>
  </si>
  <si>
    <t>4:00 pm to 9:00 pm</t>
  </si>
  <si>
    <t>Monday through Friday</t>
  </si>
  <si>
    <t>Partial-Peak:</t>
  </si>
  <si>
    <t>2:00 pm to 4:00 pm AND</t>
  </si>
  <si>
    <t>9:00 pm to 10:00 pm</t>
  </si>
  <si>
    <t>Plus 5:00 pm to 8:00 pm</t>
  </si>
  <si>
    <t>Saturday and Sunday</t>
  </si>
  <si>
    <t>Off-Peak:</t>
  </si>
  <si>
    <t>All Other times including Holidays</t>
  </si>
  <si>
    <t>Winter  (October-May)</t>
  </si>
  <si>
    <t>Partial Peak:</t>
  </si>
  <si>
    <t>5:00 pm to 8:00 pm</t>
  </si>
  <si>
    <t>Holidays:</t>
  </si>
  <si>
    <t>Holidays' for the purposes of this Rate Schedule are New Year's Day, President's Day,</t>
  </si>
  <si>
    <t>Memorial Day, Independence Day, Labor Day, Veterans Day, Thanksgiving Day, and</t>
  </si>
  <si>
    <t>Christmas Day.  The dates will be those on which the holidays are legally observed.</t>
  </si>
  <si>
    <t>Advice Letter 6408-E-B, Effective January 1, 2022, New Summer Time Periods for E-6 and EM-TOU Only</t>
  </si>
  <si>
    <t>Advice Letter 6004-E-C, Effective January 1, 2021, New Baseline Quantities and Season Changes for E-6 and EM-TOU Only</t>
  </si>
  <si>
    <t>E-TOU-B, E-TOU-C and E-TOU-D Time of Use Periods</t>
  </si>
  <si>
    <t>E-TOU-B</t>
  </si>
  <si>
    <t>Monday-Friday</t>
  </si>
  <si>
    <t>All other times including Holidays</t>
  </si>
  <si>
    <r>
      <t xml:space="preserve">E-TOU-C and EM-TOU </t>
    </r>
    <r>
      <rPr>
        <sz val="10"/>
        <rFont val="Arial"/>
        <family val="2"/>
      </rPr>
      <t xml:space="preserve">(previously E-TOU-C3)   </t>
    </r>
    <r>
      <rPr>
        <b/>
        <sz val="10"/>
        <rFont val="Arial"/>
        <family val="2"/>
      </rPr>
      <t>See Baseline Quantities Tab</t>
    </r>
  </si>
  <si>
    <t>All Days</t>
  </si>
  <si>
    <t xml:space="preserve">All other times </t>
  </si>
  <si>
    <t>E-TOU-D</t>
  </si>
  <si>
    <t>Holidays for the purposes of these Rate Schedules are New Year's Day, President's Day, Memorial Day,</t>
  </si>
  <si>
    <t>Independence Day, Labor Day, Veterans Day, Thanksgiving Day and Christmas Day.</t>
  </si>
  <si>
    <t xml:space="preserve"> The dates will be those on which the holidays are legally observed.</t>
  </si>
  <si>
    <t>Note: E-TOU Option A discontinued December 31, 2020 (see AL#4805-E-A).</t>
  </si>
  <si>
    <t>EV Time-of-Use Periods</t>
  </si>
  <si>
    <t>Summer:  May-Oct     Winter:  Nov-Apr</t>
  </si>
  <si>
    <t>All Year</t>
  </si>
  <si>
    <t>2:00 pm to 9:00 pm</t>
  </si>
  <si>
    <t>3:00 pm to 7:00 pm</t>
  </si>
  <si>
    <t>Saturday, Sunday and Holidays</t>
  </si>
  <si>
    <t>7:00 am to 2:00 pm</t>
  </si>
  <si>
    <t>Monday through Friday, except Holidays</t>
  </si>
  <si>
    <t>9:00 pm to 11:00 pm</t>
  </si>
  <si>
    <t>All Other Hours</t>
  </si>
  <si>
    <t>EV2 Time-of-Use Periods</t>
  </si>
  <si>
    <t>Summer:  June-Sept     Winter:  Oct-May</t>
  </si>
  <si>
    <t>Every day including weekends and holidays</t>
  </si>
  <si>
    <t>3:00 pm to 4:00 pm</t>
  </si>
  <si>
    <t>9:00 pm to 12:00 am</t>
  </si>
  <si>
    <r>
      <t xml:space="preserve">E-ELEC Time-of-Use Periods  </t>
    </r>
    <r>
      <rPr>
        <b/>
        <sz val="10"/>
        <color rgb="FFFF0000"/>
        <rFont val="Arial"/>
        <family val="2"/>
      </rPr>
      <t xml:space="preserve">(New)  </t>
    </r>
    <r>
      <rPr>
        <sz val="10"/>
        <rFont val="Arial"/>
        <family val="2"/>
      </rPr>
      <t>Effective December 1, 2022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</si>
</sst>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_);[Red]\(&quot;$&quot;#,##0\)"/>
    <numFmt numFmtId="7" formatCode="&quot;$&quot;#,##0.00_);\(&quot;$&quot;#,##0.00\)"/>
    <numFmt numFmtId="164" formatCode="&quot;$&quot;#,##0.00000_);[Red]\(&quot;$&quot;#,##0.00000\)"/>
    <numFmt numFmtId="165" formatCode="&quot;$&quot;#,##0.00"/>
    <numFmt numFmtId="166" formatCode="&quot;$&quot;#,##0.00000"/>
    <numFmt numFmtId="167" formatCode="&quot;$&quot;#,##0.00000_);\(&quot;$&quot;#,##0.00000\)"/>
    <numFmt numFmtId="168" formatCode="00.0"/>
    <numFmt numFmtId="169" formatCode="0.0"/>
    <numFmt numFmtId="170" formatCode="&quot;  &quot;0.0"/>
    <numFmt numFmtId="171" formatCode="0.0000000000"/>
    <numFmt numFmtId="172" formatCode="_-* #,##0.0_-;\-* #,##0.0_-;_-* &quot;-&quot;??_-;_-@_-"/>
    <numFmt numFmtId="173" formatCode="#,##0.00&quot; $&quot;;\-#,##0.00&quot; $&quot;"/>
    <numFmt numFmtId="174" formatCode="0.00_)"/>
    <numFmt numFmtId="175" formatCode="0.0%"/>
    <numFmt numFmtId="176" formatCode="0.000%"/>
  </numFmts>
  <fonts count="37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9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indexed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vertAlign val="superscript"/>
      <sz val="9"/>
      <name val="Arial"/>
      <family val="2"/>
    </font>
    <font>
      <b/>
      <sz val="14"/>
      <name val="Arial"/>
      <family val="2"/>
    </font>
    <font>
      <sz val="10"/>
      <name val="Geneva"/>
    </font>
    <font>
      <b/>
      <sz val="18"/>
      <name val="Arial"/>
      <family val="2"/>
    </font>
    <font>
      <sz val="10"/>
      <color indexed="10"/>
      <name val="Geneva"/>
    </font>
    <font>
      <sz val="11"/>
      <name val="??"/>
      <family val="3"/>
      <charset val="129"/>
    </font>
    <font>
      <b/>
      <u/>
      <sz val="11"/>
      <color indexed="37"/>
      <name val="Arial"/>
      <family val="2"/>
    </font>
    <font>
      <sz val="10"/>
      <color indexed="12"/>
      <name val="Arial"/>
      <family val="2"/>
    </font>
    <font>
      <sz val="7"/>
      <name val="Small Fonts"/>
      <family val="2"/>
    </font>
    <font>
      <b/>
      <i/>
      <sz val="16"/>
      <name val="Helv"/>
    </font>
    <font>
      <sz val="8"/>
      <color indexed="12"/>
      <name val="Arial"/>
      <family val="2"/>
    </font>
    <font>
      <b/>
      <vertAlign val="superscript"/>
      <sz val="10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0"/>
      <color rgb="FFFF0000"/>
      <name val="Arial"/>
      <family val="2"/>
    </font>
    <font>
      <b/>
      <vertAlign val="superscript"/>
      <sz val="14"/>
      <name val="Arial"/>
      <family val="2"/>
    </font>
    <font>
      <b/>
      <sz val="9"/>
      <color rgb="FFFF0000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Geneva"/>
    </font>
    <font>
      <i/>
      <sz val="9"/>
      <name val="Arial"/>
      <family val="2"/>
    </font>
    <font>
      <b/>
      <vertAlign val="superscript"/>
      <sz val="9"/>
      <name val="Arial"/>
      <family val="2"/>
    </font>
    <font>
      <vertAlign val="superscript"/>
      <sz val="8"/>
      <name val="Arial"/>
      <family val="2"/>
    </font>
    <font>
      <sz val="10"/>
      <color theme="0" tint="-0.34998626667073579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E1FFE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3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19">
    <xf numFmtId="0" fontId="0" fillId="0" borderId="0"/>
    <xf numFmtId="0" fontId="5" fillId="0" borderId="0" applyNumberFormat="0" applyFill="0" applyBorder="0" applyAlignment="0" applyProtection="0"/>
    <xf numFmtId="171" fontId="14" fillId="2" borderId="1">
      <alignment horizontal="center" vertical="center"/>
    </xf>
    <xf numFmtId="6" fontId="17" fillId="0" borderId="0">
      <protection locked="0"/>
    </xf>
    <xf numFmtId="172" fontId="5" fillId="0" borderId="0">
      <protection locked="0"/>
    </xf>
    <xf numFmtId="38" fontId="2" fillId="3" borderId="0" applyNumberFormat="0" applyBorder="0" applyAlignment="0" applyProtection="0"/>
    <xf numFmtId="0" fontId="18" fillId="0" borderId="0" applyNumberFormat="0" applyFill="0" applyBorder="0" applyAlignment="0" applyProtection="0"/>
    <xf numFmtId="173" fontId="5" fillId="0" borderId="0">
      <protection locked="0"/>
    </xf>
    <xf numFmtId="173" fontId="5" fillId="0" borderId="0">
      <protection locked="0"/>
    </xf>
    <xf numFmtId="0" fontId="19" fillId="0" borderId="2" applyNumberFormat="0" applyFill="0" applyAlignment="0" applyProtection="0"/>
    <xf numFmtId="10" fontId="2" fillId="4" borderId="3" applyNumberFormat="0" applyBorder="0" applyAlignment="0" applyProtection="0"/>
    <xf numFmtId="37" fontId="20" fillId="0" borderId="0"/>
    <xf numFmtId="174" fontId="21" fillId="0" borderId="0"/>
    <xf numFmtId="0" fontId="5" fillId="0" borderId="0"/>
    <xf numFmtId="0" fontId="14" fillId="0" borderId="0"/>
    <xf numFmtId="10" fontId="5" fillId="0" borderId="0" applyFont="0" applyFill="0" applyBorder="0" applyAlignment="0" applyProtection="0"/>
    <xf numFmtId="37" fontId="2" fillId="5" borderId="0" applyNumberFormat="0" applyBorder="0" applyAlignment="0" applyProtection="0"/>
    <xf numFmtId="37" fontId="2" fillId="0" borderId="0"/>
    <xf numFmtId="3" fontId="22" fillId="0" borderId="2" applyProtection="0"/>
  </cellStyleXfs>
  <cellXfs count="198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5" fillId="4" borderId="4" xfId="0" applyNumberFormat="1" applyFont="1" applyFill="1" applyBorder="1" applyAlignment="1">
      <alignment horizontal="center" vertical="center" wrapText="1"/>
    </xf>
    <xf numFmtId="164" fontId="5" fillId="4" borderId="5" xfId="0" applyNumberFormat="1" applyFont="1" applyFill="1" applyBorder="1" applyAlignment="1">
      <alignment horizontal="right" vertical="center" wrapText="1"/>
    </xf>
    <xf numFmtId="164" fontId="5" fillId="4" borderId="5" xfId="0" applyNumberFormat="1" applyFont="1" applyFill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right" vertical="center" wrapText="1"/>
    </xf>
    <xf numFmtId="164" fontId="5" fillId="0" borderId="6" xfId="0" applyNumberFormat="1" applyFont="1" applyBorder="1" applyAlignment="1">
      <alignment horizontal="center" vertical="center" wrapText="1"/>
    </xf>
    <xf numFmtId="166" fontId="5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4" fillId="3" borderId="3" xfId="0" applyFont="1" applyFill="1" applyBorder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right" vertical="center" wrapText="1"/>
    </xf>
    <xf numFmtId="164" fontId="6" fillId="0" borderId="0" xfId="0" applyNumberFormat="1" applyFont="1" applyAlignment="1">
      <alignment horizontal="right" vertical="center" wrapText="1"/>
    </xf>
    <xf numFmtId="164" fontId="5" fillId="0" borderId="0" xfId="0" applyNumberFormat="1" applyFont="1" applyAlignment="1">
      <alignment horizontal="center" vertical="center" wrapText="1"/>
    </xf>
    <xf numFmtId="0" fontId="4" fillId="0" borderId="0" xfId="0" applyFont="1"/>
    <xf numFmtId="0" fontId="4" fillId="0" borderId="8" xfId="0" applyFont="1" applyBorder="1"/>
    <xf numFmtId="0" fontId="8" fillId="0" borderId="0" xfId="0" applyFont="1"/>
    <xf numFmtId="0" fontId="5" fillId="0" borderId="8" xfId="0" applyFont="1" applyBorder="1"/>
    <xf numFmtId="0" fontId="0" fillId="0" borderId="10" xfId="0" applyBorder="1"/>
    <xf numFmtId="0" fontId="4" fillId="0" borderId="11" xfId="0" applyFont="1" applyBorder="1"/>
    <xf numFmtId="0" fontId="7" fillId="0" borderId="0" xfId="0" applyFont="1"/>
    <xf numFmtId="0" fontId="5" fillId="0" borderId="11" xfId="0" applyFont="1" applyBorder="1"/>
    <xf numFmtId="0" fontId="4" fillId="7" borderId="3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164" fontId="4" fillId="7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0" fillId="0" borderId="0" xfId="0" applyFont="1"/>
    <xf numFmtId="0" fontId="14" fillId="0" borderId="0" xfId="14"/>
    <xf numFmtId="0" fontId="16" fillId="0" borderId="0" xfId="14" applyFont="1"/>
    <xf numFmtId="0" fontId="5" fillId="0" borderId="0" xfId="14" applyFont="1"/>
    <xf numFmtId="0" fontId="5" fillId="0" borderId="0" xfId="14" applyFont="1" applyAlignment="1">
      <alignment horizontal="centerContinuous" vertical="center"/>
    </xf>
    <xf numFmtId="0" fontId="5" fillId="0" borderId="0" xfId="14" applyFont="1" applyAlignment="1">
      <alignment horizontal="center" vertical="center"/>
    </xf>
    <xf numFmtId="0" fontId="4" fillId="0" borderId="14" xfId="14" applyFont="1" applyBorder="1" applyAlignment="1">
      <alignment horizontal="center"/>
    </xf>
    <xf numFmtId="0" fontId="4" fillId="0" borderId="4" xfId="14" applyFont="1" applyBorder="1" applyAlignment="1">
      <alignment horizontal="center"/>
    </xf>
    <xf numFmtId="0" fontId="5" fillId="0" borderId="15" xfId="14" applyFont="1" applyBorder="1" applyAlignment="1">
      <alignment horizontal="centerContinuous"/>
    </xf>
    <xf numFmtId="0" fontId="4" fillId="0" borderId="15" xfId="14" applyFont="1" applyBorder="1" applyAlignment="1">
      <alignment horizontal="center"/>
    </xf>
    <xf numFmtId="0" fontId="5" fillId="0" borderId="16" xfId="14" applyFont="1" applyBorder="1"/>
    <xf numFmtId="0" fontId="2" fillId="0" borderId="5" xfId="13" applyFont="1" applyBorder="1" applyAlignment="1">
      <alignment horizontal="center"/>
    </xf>
    <xf numFmtId="0" fontId="5" fillId="0" borderId="0" xfId="13"/>
    <xf numFmtId="0" fontId="2" fillId="0" borderId="5" xfId="14" applyFont="1" applyBorder="1" applyAlignment="1">
      <alignment horizontal="center"/>
    </xf>
    <xf numFmtId="0" fontId="4" fillId="0" borderId="5" xfId="14" applyFont="1" applyBorder="1" applyAlignment="1">
      <alignment horizontal="center"/>
    </xf>
    <xf numFmtId="0" fontId="2" fillId="0" borderId="17" xfId="14" applyFont="1" applyBorder="1" applyAlignment="1">
      <alignment horizontal="center"/>
    </xf>
    <xf numFmtId="0" fontId="5" fillId="0" borderId="5" xfId="14" applyFont="1" applyBorder="1" applyAlignment="1">
      <alignment horizontal="center"/>
    </xf>
    <xf numFmtId="0" fontId="11" fillId="0" borderId="5" xfId="14" applyFont="1" applyBorder="1" applyAlignment="1">
      <alignment horizontal="center"/>
    </xf>
    <xf numFmtId="0" fontId="10" fillId="0" borderId="5" xfId="14" applyFont="1" applyBorder="1" applyAlignment="1">
      <alignment horizontal="center"/>
    </xf>
    <xf numFmtId="0" fontId="5" fillId="0" borderId="6" xfId="14" applyFont="1" applyBorder="1" applyAlignment="1">
      <alignment horizontal="center"/>
    </xf>
    <xf numFmtId="0" fontId="4" fillId="0" borderId="6" xfId="14" applyFont="1" applyBorder="1" applyAlignment="1">
      <alignment horizontal="center"/>
    </xf>
    <xf numFmtId="0" fontId="4" fillId="0" borderId="0" xfId="14" applyFont="1" applyAlignment="1">
      <alignment horizontal="center"/>
    </xf>
    <xf numFmtId="169" fontId="5" fillId="0" borderId="0" xfId="14" applyNumberFormat="1" applyFont="1" applyAlignment="1">
      <alignment horizontal="center"/>
    </xf>
    <xf numFmtId="0" fontId="5" fillId="0" borderId="0" xfId="14" applyFont="1" applyAlignment="1">
      <alignment horizontal="center"/>
    </xf>
    <xf numFmtId="170" fontId="5" fillId="0" borderId="0" xfId="14" applyNumberFormat="1" applyFont="1" applyAlignment="1">
      <alignment horizontal="center"/>
    </xf>
    <xf numFmtId="0" fontId="12" fillId="0" borderId="0" xfId="14" applyFont="1" applyAlignment="1">
      <alignment horizontal="left"/>
    </xf>
    <xf numFmtId="0" fontId="11" fillId="0" borderId="0" xfId="14" applyFont="1" applyAlignment="1">
      <alignment horizontal="left"/>
    </xf>
    <xf numFmtId="0" fontId="4" fillId="8" borderId="5" xfId="14" applyFont="1" applyFill="1" applyBorder="1" applyAlignment="1">
      <alignment horizontal="center"/>
    </xf>
    <xf numFmtId="0" fontId="0" fillId="0" borderId="0" xfId="0" quotePrefix="1"/>
    <xf numFmtId="0" fontId="4" fillId="0" borderId="18" xfId="0" applyFont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 vertical="center" wrapText="1"/>
    </xf>
    <xf numFmtId="7" fontId="5" fillId="0" borderId="3" xfId="0" applyNumberFormat="1" applyFont="1" applyBorder="1" applyAlignment="1">
      <alignment horizontal="center" vertical="center" wrapText="1"/>
    </xf>
    <xf numFmtId="0" fontId="4" fillId="0" borderId="0" xfId="13" applyFont="1"/>
    <xf numFmtId="0" fontId="2" fillId="0" borderId="0" xfId="13" quotePrefix="1" applyFont="1"/>
    <xf numFmtId="168" fontId="5" fillId="0" borderId="5" xfId="14" applyNumberFormat="1" applyFont="1" applyBorder="1" applyAlignment="1">
      <alignment horizontal="center"/>
    </xf>
    <xf numFmtId="0" fontId="5" fillId="0" borderId="5" xfId="14" applyFont="1" applyBorder="1" applyAlignment="1">
      <alignment horizontal="right"/>
    </xf>
    <xf numFmtId="169" fontId="5" fillId="0" borderId="5" xfId="14" applyNumberFormat="1" applyFont="1" applyBorder="1" applyAlignment="1">
      <alignment horizontal="center"/>
    </xf>
    <xf numFmtId="168" fontId="5" fillId="0" borderId="6" xfId="14" applyNumberFormat="1" applyFont="1" applyBorder="1" applyAlignment="1">
      <alignment horizontal="center"/>
    </xf>
    <xf numFmtId="0" fontId="5" fillId="0" borderId="6" xfId="14" applyFont="1" applyBorder="1" applyAlignment="1">
      <alignment horizontal="right"/>
    </xf>
    <xf numFmtId="169" fontId="5" fillId="0" borderId="6" xfId="14" applyNumberFormat="1" applyFont="1" applyBorder="1" applyAlignment="1">
      <alignment horizontal="center"/>
    </xf>
    <xf numFmtId="170" fontId="5" fillId="0" borderId="5" xfId="14" applyNumberFormat="1" applyFont="1" applyBorder="1" applyAlignment="1">
      <alignment horizontal="center"/>
    </xf>
    <xf numFmtId="170" fontId="5" fillId="0" borderId="6" xfId="14" applyNumberFormat="1" applyFont="1" applyBorder="1" applyAlignment="1">
      <alignment horizontal="center"/>
    </xf>
    <xf numFmtId="0" fontId="24" fillId="3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1" fillId="0" borderId="0" xfId="0" applyFont="1"/>
    <xf numFmtId="0" fontId="4" fillId="0" borderId="16" xfId="13" applyFont="1" applyBorder="1" applyAlignment="1">
      <alignment vertical="center"/>
    </xf>
    <xf numFmtId="0" fontId="5" fillId="0" borderId="0" xfId="13" applyAlignment="1">
      <alignment vertical="center"/>
    </xf>
    <xf numFmtId="0" fontId="4" fillId="0" borderId="17" xfId="13" applyFont="1" applyBorder="1" applyAlignment="1">
      <alignment vertical="center"/>
    </xf>
    <xf numFmtId="0" fontId="8" fillId="0" borderId="0" xfId="13" applyFont="1" applyAlignment="1">
      <alignment vertical="center"/>
    </xf>
    <xf numFmtId="0" fontId="5" fillId="0" borderId="17" xfId="13" applyBorder="1" applyAlignment="1">
      <alignment vertical="center"/>
    </xf>
    <xf numFmtId="0" fontId="4" fillId="0" borderId="19" xfId="13" applyFont="1" applyBorder="1" applyAlignment="1">
      <alignment vertical="center"/>
    </xf>
    <xf numFmtId="0" fontId="5" fillId="0" borderId="10" xfId="13" applyBorder="1" applyAlignment="1">
      <alignment vertical="center"/>
    </xf>
    <xf numFmtId="0" fontId="4" fillId="0" borderId="20" xfId="13" applyFont="1" applyBorder="1" applyAlignment="1">
      <alignment vertical="center"/>
    </xf>
    <xf numFmtId="0" fontId="4" fillId="0" borderId="21" xfId="13" applyFont="1" applyBorder="1" applyAlignment="1">
      <alignment vertical="center"/>
    </xf>
    <xf numFmtId="0" fontId="5" fillId="0" borderId="22" xfId="13" applyBorder="1" applyAlignment="1">
      <alignment vertical="center"/>
    </xf>
    <xf numFmtId="0" fontId="4" fillId="0" borderId="23" xfId="13" applyFont="1" applyBorder="1" applyAlignment="1">
      <alignment vertical="center"/>
    </xf>
    <xf numFmtId="0" fontId="4" fillId="0" borderId="30" xfId="13" applyFont="1" applyBorder="1" applyAlignment="1">
      <alignment vertical="center"/>
    </xf>
    <xf numFmtId="0" fontId="4" fillId="0" borderId="0" xfId="13" applyFont="1" applyAlignment="1">
      <alignment vertical="center"/>
    </xf>
    <xf numFmtId="0" fontId="2" fillId="0" borderId="0" xfId="13" quotePrefix="1" applyFont="1" applyAlignment="1">
      <alignment vertical="center"/>
    </xf>
    <xf numFmtId="0" fontId="1" fillId="0" borderId="0" xfId="13" applyFont="1"/>
    <xf numFmtId="0" fontId="2" fillId="0" borderId="0" xfId="13" applyFont="1" applyAlignment="1">
      <alignment vertical="center"/>
    </xf>
    <xf numFmtId="0" fontId="1" fillId="0" borderId="0" xfId="13" applyFont="1" applyAlignment="1">
      <alignment vertical="center"/>
    </xf>
    <xf numFmtId="0" fontId="2" fillId="0" borderId="0" xfId="13" applyFont="1"/>
    <xf numFmtId="169" fontId="11" fillId="0" borderId="5" xfId="14" applyNumberFormat="1" applyFont="1" applyBorder="1" applyAlignment="1">
      <alignment horizontal="right"/>
    </xf>
    <xf numFmtId="0" fontId="11" fillId="0" borderId="5" xfId="14" applyFont="1" applyBorder="1" applyAlignment="1">
      <alignment horizontal="right"/>
    </xf>
    <xf numFmtId="0" fontId="10" fillId="0" borderId="0" xfId="14" applyFont="1"/>
    <xf numFmtId="0" fontId="26" fillId="3" borderId="13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66" fontId="5" fillId="0" borderId="21" xfId="0" applyNumberFormat="1" applyFont="1" applyBorder="1" applyAlignment="1">
      <alignment horizontal="right" vertical="center" wrapText="1"/>
    </xf>
    <xf numFmtId="166" fontId="5" fillId="0" borderId="14" xfId="0" applyNumberFormat="1" applyFont="1" applyBorder="1" applyAlignment="1">
      <alignment horizontal="right" vertical="center" wrapText="1"/>
    </xf>
    <xf numFmtId="0" fontId="4" fillId="0" borderId="4" xfId="0" applyFont="1" applyBorder="1" applyAlignment="1">
      <alignment horizontal="center" wrapText="1"/>
    </xf>
    <xf numFmtId="0" fontId="4" fillId="0" borderId="27" xfId="0" applyFont="1" applyBorder="1" applyAlignment="1">
      <alignment horizontal="center" vertical="center" wrapText="1"/>
    </xf>
    <xf numFmtId="167" fontId="30" fillId="4" borderId="4" xfId="0" applyNumberFormat="1" applyFont="1" applyFill="1" applyBorder="1" applyAlignment="1">
      <alignment horizontal="center" vertical="center" wrapText="1"/>
    </xf>
    <xf numFmtId="167" fontId="30" fillId="4" borderId="5" xfId="0" applyNumberFormat="1" applyFont="1" applyFill="1" applyBorder="1" applyAlignment="1">
      <alignment horizontal="center" vertical="center" wrapText="1"/>
    </xf>
    <xf numFmtId="167" fontId="30" fillId="0" borderId="4" xfId="0" applyNumberFormat="1" applyFont="1" applyBorder="1" applyAlignment="1">
      <alignment horizontal="center" vertical="center" wrapText="1"/>
    </xf>
    <xf numFmtId="167" fontId="30" fillId="0" borderId="5" xfId="0" applyNumberFormat="1" applyFont="1" applyBorder="1" applyAlignment="1">
      <alignment horizontal="center" vertical="center" wrapText="1"/>
    </xf>
    <xf numFmtId="0" fontId="28" fillId="0" borderId="0" xfId="13" applyFont="1"/>
    <xf numFmtId="0" fontId="28" fillId="0" borderId="0" xfId="14" applyFont="1" applyAlignment="1">
      <alignment horizontal="left"/>
    </xf>
    <xf numFmtId="0" fontId="31" fillId="0" borderId="0" xfId="0" applyFont="1"/>
    <xf numFmtId="165" fontId="0" fillId="0" borderId="0" xfId="0" applyNumberFormat="1"/>
    <xf numFmtId="0" fontId="32" fillId="0" borderId="0" xfId="14" applyFont="1"/>
    <xf numFmtId="0" fontId="33" fillId="0" borderId="0" xfId="14" applyFont="1" applyAlignment="1">
      <alignment horizontal="left"/>
    </xf>
    <xf numFmtId="0" fontId="34" fillId="0" borderId="0" xfId="14" applyFont="1" applyAlignment="1">
      <alignment horizontal="left"/>
    </xf>
    <xf numFmtId="0" fontId="5" fillId="0" borderId="0" xfId="14" applyFont="1" applyAlignment="1">
      <alignment horizontal="left"/>
    </xf>
    <xf numFmtId="0" fontId="36" fillId="0" borderId="0" xfId="0" applyFont="1"/>
    <xf numFmtId="0" fontId="28" fillId="0" borderId="0" xfId="0" applyFont="1"/>
    <xf numFmtId="164" fontId="5" fillId="4" borderId="6" xfId="0" applyNumberFormat="1" applyFont="1" applyFill="1" applyBorder="1" applyAlignment="1">
      <alignment horizontal="right" vertical="center" wrapText="1"/>
    </xf>
    <xf numFmtId="164" fontId="5" fillId="4" borderId="6" xfId="0" applyNumberFormat="1" applyFont="1" applyFill="1" applyBorder="1" applyAlignment="1">
      <alignment horizontal="center" vertical="center" wrapText="1"/>
    </xf>
    <xf numFmtId="0" fontId="26" fillId="0" borderId="0" xfId="0" applyFont="1"/>
    <xf numFmtId="0" fontId="11" fillId="0" borderId="0" xfId="0" applyFont="1" applyAlignment="1">
      <alignment vertical="top"/>
    </xf>
    <xf numFmtId="0" fontId="26" fillId="0" borderId="0" xfId="14" applyFont="1" applyAlignment="1">
      <alignment horizontal="left"/>
    </xf>
    <xf numFmtId="0" fontId="4" fillId="0" borderId="3" xfId="0" applyFont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164" fontId="5" fillId="4" borderId="4" xfId="0" applyNumberFormat="1" applyFont="1" applyFill="1" applyBorder="1" applyAlignment="1">
      <alignment horizontal="right" vertical="center" wrapText="1"/>
    </xf>
    <xf numFmtId="164" fontId="5" fillId="0" borderId="4" xfId="0" applyNumberFormat="1" applyFont="1" applyBorder="1" applyAlignment="1">
      <alignment horizontal="right" vertical="center" wrapText="1"/>
    </xf>
    <xf numFmtId="166" fontId="5" fillId="0" borderId="15" xfId="0" applyNumberFormat="1" applyFont="1" applyBorder="1" applyAlignment="1">
      <alignment horizontal="center" vertical="center" wrapText="1"/>
    </xf>
    <xf numFmtId="166" fontId="5" fillId="0" borderId="23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164" fontId="5" fillId="0" borderId="5" xfId="0" applyNumberFormat="1" applyFont="1" applyBorder="1" applyAlignment="1">
      <alignment horizontal="right" vertical="center" wrapText="1"/>
    </xf>
    <xf numFmtId="176" fontId="5" fillId="0" borderId="4" xfId="0" applyNumberFormat="1" applyFont="1" applyBorder="1" applyAlignment="1">
      <alignment horizontal="center" vertical="center" wrapText="1"/>
    </xf>
    <xf numFmtId="176" fontId="5" fillId="0" borderId="5" xfId="0" applyNumberFormat="1" applyFont="1" applyBorder="1" applyAlignment="1">
      <alignment horizontal="center" vertical="center" wrapText="1"/>
    </xf>
    <xf numFmtId="176" fontId="5" fillId="0" borderId="6" xfId="0" applyNumberFormat="1" applyFont="1" applyBorder="1" applyAlignment="1">
      <alignment horizontal="center" vertical="center" wrapText="1"/>
    </xf>
    <xf numFmtId="7" fontId="5" fillId="0" borderId="4" xfId="0" applyNumberFormat="1" applyFont="1" applyBorder="1" applyAlignment="1">
      <alignment horizontal="center" vertical="center" wrapText="1"/>
    </xf>
    <xf numFmtId="7" fontId="5" fillId="0" borderId="5" xfId="0" applyNumberFormat="1" applyFont="1" applyBorder="1" applyAlignment="1">
      <alignment horizontal="center" vertical="center" wrapText="1"/>
    </xf>
    <xf numFmtId="7" fontId="5" fillId="0" borderId="6" xfId="0" applyNumberFormat="1" applyFont="1" applyBorder="1" applyAlignment="1">
      <alignment horizontal="center" vertical="center" wrapText="1"/>
    </xf>
    <xf numFmtId="166" fontId="5" fillId="6" borderId="3" xfId="0" applyNumberFormat="1" applyFont="1" applyFill="1" applyBorder="1" applyAlignment="1">
      <alignment horizontal="center" vertical="center" wrapText="1"/>
    </xf>
    <xf numFmtId="166" fontId="5" fillId="0" borderId="14" xfId="0" applyNumberFormat="1" applyFont="1" applyBorder="1" applyAlignment="1">
      <alignment horizontal="center" vertical="center" wrapText="1"/>
    </xf>
    <xf numFmtId="166" fontId="5" fillId="0" borderId="15" xfId="0" applyNumberFormat="1" applyFont="1" applyBorder="1" applyAlignment="1">
      <alignment horizontal="center" vertical="center" wrapText="1"/>
    </xf>
    <xf numFmtId="166" fontId="5" fillId="0" borderId="16" xfId="0" applyNumberFormat="1" applyFont="1" applyBorder="1" applyAlignment="1">
      <alignment horizontal="center" vertical="center" wrapText="1"/>
    </xf>
    <xf numFmtId="166" fontId="5" fillId="0" borderId="17" xfId="0" applyNumberFormat="1" applyFont="1" applyBorder="1" applyAlignment="1">
      <alignment horizontal="center" vertical="center" wrapText="1"/>
    </xf>
    <xf numFmtId="166" fontId="5" fillId="0" borderId="21" xfId="0" applyNumberFormat="1" applyFont="1" applyBorder="1" applyAlignment="1">
      <alignment horizontal="center" vertical="center" wrapText="1"/>
    </xf>
    <xf numFmtId="166" fontId="5" fillId="0" borderId="23" xfId="0" applyNumberFormat="1" applyFont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righ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66" fontId="5" fillId="0" borderId="4" xfId="0" applyNumberFormat="1" applyFont="1" applyBorder="1" applyAlignment="1">
      <alignment horizontal="center" vertical="center" wrapText="1"/>
    </xf>
    <xf numFmtId="166" fontId="5" fillId="0" borderId="6" xfId="0" applyNumberFormat="1" applyFont="1" applyBorder="1" applyAlignment="1">
      <alignment horizontal="center" vertical="center" wrapText="1"/>
    </xf>
    <xf numFmtId="166" fontId="5" fillId="6" borderId="4" xfId="0" applyNumberFormat="1" applyFont="1" applyFill="1" applyBorder="1" applyAlignment="1">
      <alignment horizontal="center" vertical="center" wrapText="1"/>
    </xf>
    <xf numFmtId="166" fontId="5" fillId="6" borderId="6" xfId="0" applyNumberFormat="1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66" fontId="5" fillId="0" borderId="3" xfId="0" applyNumberFormat="1" applyFont="1" applyBorder="1" applyAlignment="1">
      <alignment horizontal="center" vertical="center" wrapText="1"/>
    </xf>
    <xf numFmtId="164" fontId="5" fillId="4" borderId="4" xfId="0" applyNumberFormat="1" applyFont="1" applyFill="1" applyBorder="1" applyAlignment="1">
      <alignment horizontal="right" vertical="center" wrapText="1"/>
    </xf>
    <xf numFmtId="0" fontId="0" fillId="0" borderId="5" xfId="0" applyBorder="1" applyAlignment="1">
      <alignment horizontal="right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righ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66" fontId="5" fillId="0" borderId="5" xfId="0" applyNumberFormat="1" applyFont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right" vertical="center" wrapText="1"/>
    </xf>
    <xf numFmtId="175" fontId="5" fillId="0" borderId="4" xfId="0" applyNumberFormat="1" applyFont="1" applyBorder="1" applyAlignment="1">
      <alignment horizontal="center" vertical="center" wrapText="1"/>
    </xf>
    <xf numFmtId="175" fontId="5" fillId="0" borderId="5" xfId="0" applyNumberFormat="1" applyFont="1" applyBorder="1" applyAlignment="1">
      <alignment horizontal="center" vertical="center" wrapText="1"/>
    </xf>
    <xf numFmtId="175" fontId="5" fillId="0" borderId="6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5" fillId="0" borderId="22" xfId="14" applyFont="1" applyBorder="1" applyAlignment="1">
      <alignment horizontal="center" vertical="center"/>
    </xf>
    <xf numFmtId="0" fontId="15" fillId="0" borderId="0" xfId="14" applyFont="1" applyAlignment="1">
      <alignment horizontal="center"/>
    </xf>
    <xf numFmtId="0" fontId="13" fillId="11" borderId="0" xfId="14" applyFont="1" applyFill="1" applyAlignment="1">
      <alignment horizontal="center"/>
    </xf>
    <xf numFmtId="0" fontId="13" fillId="0" borderId="0" xfId="14" applyFont="1" applyAlignment="1">
      <alignment horizontal="center"/>
    </xf>
    <xf numFmtId="0" fontId="29" fillId="0" borderId="0" xfId="14" applyFont="1" applyAlignment="1">
      <alignment horizontal="center"/>
    </xf>
    <xf numFmtId="0" fontId="4" fillId="3" borderId="18" xfId="13" applyFont="1" applyFill="1" applyBorder="1" applyAlignment="1">
      <alignment horizontal="center" vertical="center"/>
    </xf>
    <xf numFmtId="0" fontId="4" fillId="3" borderId="27" xfId="13" applyFont="1" applyFill="1" applyBorder="1" applyAlignment="1">
      <alignment horizontal="center" vertical="center"/>
    </xf>
    <xf numFmtId="0" fontId="4" fillId="3" borderId="13" xfId="13" applyFont="1" applyFill="1" applyBorder="1" applyAlignment="1">
      <alignment horizontal="center" vertical="center"/>
    </xf>
    <xf numFmtId="0" fontId="4" fillId="13" borderId="28" xfId="13" applyFont="1" applyFill="1" applyBorder="1" applyAlignment="1">
      <alignment horizontal="left" vertical="center"/>
    </xf>
    <xf numFmtId="0" fontId="4" fillId="13" borderId="25" xfId="13" applyFont="1" applyFill="1" applyBorder="1" applyAlignment="1">
      <alignment horizontal="left" vertical="center"/>
    </xf>
    <xf numFmtId="0" fontId="4" fillId="13" borderId="29" xfId="13" applyFont="1" applyFill="1" applyBorder="1" applyAlignment="1">
      <alignment horizontal="left" vertical="center"/>
    </xf>
    <xf numFmtId="0" fontId="4" fillId="10" borderId="28" xfId="13" applyFont="1" applyFill="1" applyBorder="1" applyAlignment="1">
      <alignment horizontal="left" vertical="center"/>
    </xf>
    <xf numFmtId="0" fontId="4" fillId="10" borderId="25" xfId="13" applyFont="1" applyFill="1" applyBorder="1" applyAlignment="1">
      <alignment horizontal="left" vertical="center"/>
    </xf>
    <xf numFmtId="0" fontId="4" fillId="10" borderId="29" xfId="13" applyFont="1" applyFill="1" applyBorder="1" applyAlignment="1">
      <alignment horizontal="left" vertical="center"/>
    </xf>
    <xf numFmtId="0" fontId="4" fillId="12" borderId="28" xfId="13" applyFont="1" applyFill="1" applyBorder="1" applyAlignment="1">
      <alignment horizontal="left" vertical="center"/>
    </xf>
    <xf numFmtId="0" fontId="4" fillId="12" borderId="25" xfId="13" applyFont="1" applyFill="1" applyBorder="1" applyAlignment="1">
      <alignment horizontal="left" vertical="center"/>
    </xf>
    <xf numFmtId="0" fontId="4" fillId="12" borderId="29" xfId="13" applyFont="1" applyFill="1" applyBorder="1" applyAlignment="1">
      <alignment horizontal="left" vertical="center"/>
    </xf>
    <xf numFmtId="0" fontId="5" fillId="0" borderId="3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4" fillId="3" borderId="24" xfId="0" applyFont="1" applyFill="1" applyBorder="1" applyAlignment="1">
      <alignment horizontal="center"/>
    </xf>
    <xf numFmtId="0" fontId="0" fillId="0" borderId="6" xfId="0" applyBorder="1" applyAlignment="1"/>
    <xf numFmtId="0" fontId="4" fillId="3" borderId="25" xfId="0" applyFont="1" applyFill="1" applyBorder="1" applyAlignment="1">
      <alignment horizontal="center"/>
    </xf>
    <xf numFmtId="0" fontId="4" fillId="3" borderId="26" xfId="0" applyFont="1" applyFill="1" applyBorder="1" applyAlignment="1">
      <alignment horizontal="center"/>
    </xf>
    <xf numFmtId="0" fontId="4" fillId="0" borderId="7" xfId="0" applyFont="1" applyBorder="1"/>
    <xf numFmtId="0" fontId="4" fillId="0" borderId="9" xfId="0" applyFont="1" applyBorder="1"/>
  </cellXfs>
  <cellStyles count="19">
    <cellStyle name="_x0010_“+ˆÉ•?pý¤" xfId="1" xr:uid="{00000000-0005-0000-0000-000000000000}"/>
    <cellStyle name="Actual Date" xfId="2" xr:uid="{00000000-0005-0000-0000-000001000000}"/>
    <cellStyle name="Date" xfId="3" xr:uid="{00000000-0005-0000-0000-000002000000}"/>
    <cellStyle name="Fixed" xfId="4" xr:uid="{00000000-0005-0000-0000-000003000000}"/>
    <cellStyle name="Grey" xfId="5" xr:uid="{00000000-0005-0000-0000-000004000000}"/>
    <cellStyle name="HEADER" xfId="6" xr:uid="{00000000-0005-0000-0000-000005000000}"/>
    <cellStyle name="Heading1" xfId="7" xr:uid="{00000000-0005-0000-0000-000006000000}"/>
    <cellStyle name="Heading2" xfId="8" xr:uid="{00000000-0005-0000-0000-000007000000}"/>
    <cellStyle name="HIGHLIGHT" xfId="9" xr:uid="{00000000-0005-0000-0000-000008000000}"/>
    <cellStyle name="Input [yellow]" xfId="10" xr:uid="{00000000-0005-0000-0000-000009000000}"/>
    <cellStyle name="no dec" xfId="11" xr:uid="{00000000-0005-0000-0000-00000A000000}"/>
    <cellStyle name="Normal" xfId="0" builtinId="0"/>
    <cellStyle name="Normal - Style1" xfId="12" xr:uid="{00000000-0005-0000-0000-00000C000000}"/>
    <cellStyle name="Normal 2" xfId="13" xr:uid="{00000000-0005-0000-0000-00000D000000}"/>
    <cellStyle name="Normal_Baseline" xfId="14" xr:uid="{00000000-0005-0000-0000-00000E000000}"/>
    <cellStyle name="Percent [2]" xfId="15" xr:uid="{00000000-0005-0000-0000-00000F000000}"/>
    <cellStyle name="Unprot" xfId="16" xr:uid="{00000000-0005-0000-0000-000010000000}"/>
    <cellStyle name="Unprot$" xfId="17" xr:uid="{00000000-0005-0000-0000-000011000000}"/>
    <cellStyle name="Unprotect" xfId="18" xr:uid="{00000000-0005-0000-0000-000012000000}"/>
  </cellStyles>
  <dxfs count="0"/>
  <tableStyles count="0" defaultTableStyle="TableStyleMedium2" defaultPivotStyle="PivotStyleLight16"/>
  <colors>
    <mruColors>
      <color rgb="FFFFCCFF"/>
      <color rgb="FFE1FFE1"/>
      <color rgb="FFDDF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/GR/Gas%20Rates/Individual%20Work/liz/HistElecRates/InternetElectricFilesExcel(Simon)/Master%20Link-To%20Files_ElecRateChanges/04-01-24_Res_03-19-24_p.xlsx" TargetMode="External"/><Relationship Id="rId2" Type="http://schemas.openxmlformats.org/officeDocument/2006/relationships/externalLinkPath" Target="file:///\\Fairfield03\Rates\GR\Gas%20Rates\Individual%20Work\liz\HistElecRates\InternetElectricFilesExcel(Simon)\Master%20Link-To%20Files_ElecRateChanges\04-01-24_Res_03-19-24_p.xlsx" TargetMode="External"/><Relationship Id="rId1" Type="http://schemas.openxmlformats.org/officeDocument/2006/relationships/externalLinkPath" Target="/GR/Gas%20Rates/Individual%20Work/liz/HistElecRates/InternetElectricFilesExcel(Simon)/Master%20Link-To%20Files_ElecRateChanges/04-01-24_Res_03-19-24_p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/GR/Gas%20Rates/Individual%20Work/liz/HistElecRates/ElectricAvgRateTables/2024/04-01-24_ElecAvgRatesFullDetail.xlsx" TargetMode="External"/><Relationship Id="rId2" Type="http://schemas.openxmlformats.org/officeDocument/2006/relationships/externalLinkPath" Target="file:///\\Fairfield03\Rates\GR\Gas%20Rates\Individual%20Work\liz\HistElecRates\ElectricAvgRateTables\2024\04-01-24_ElecAvgRatesFullDetail.xlsx" TargetMode="External"/><Relationship Id="rId1" Type="http://schemas.openxmlformats.org/officeDocument/2006/relationships/externalLinkPath" Target="/GR/Gas%20Rates/Individual%20Work/liz/HistElecRates/ElectricAvgRateTables/2024/04-01-24_ElecAvgRatesFullDetail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GR/Gas%20Rates/Individual%20Work/liz/HistElecRates/InternetElectricFilesExcel(Simon)/Master%20Link-To%20Files_ElecRateChanges/04-01-24_effective_rounded.xlsx" TargetMode="External"/><Relationship Id="rId1" Type="http://schemas.openxmlformats.org/officeDocument/2006/relationships/externalLinkPath" Target="/GR/Gas%20Rates/Individual%20Work/liz/HistElecRates/InternetElectricFilesExcel(Simon)/Master%20Link-To%20Files_ElecRateChanges/04-01-24_effective_round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elim JA"/>
      <sheetName val="Prelim IX"/>
      <sheetName val="Prelim IY"/>
      <sheetName val="Prelim JF"/>
      <sheetName val="Prelim I"/>
      <sheetName val="Prelim JG"/>
      <sheetName val="E1"/>
      <sheetName val="EM"/>
      <sheetName val="EM TOU"/>
      <sheetName val="ES"/>
      <sheetName val="ESR"/>
      <sheetName val="ET"/>
      <sheetName val="ETOUB"/>
      <sheetName val="ETOUC"/>
      <sheetName val="EV"/>
      <sheetName val="EV2"/>
      <sheetName val="ETOUD"/>
      <sheetName val="E-ELEC"/>
      <sheetName val="ERSMART"/>
      <sheetName val="D-CARE"/>
      <sheetName val="Non CARE CRS"/>
      <sheetName val="BQs"/>
      <sheetName val="Tariff Sheet Ref"/>
    </sheetNames>
    <sheetDataSet>
      <sheetData sheetId="0"/>
      <sheetData sheetId="1"/>
      <sheetData sheetId="2"/>
      <sheetData sheetId="3"/>
      <sheetData sheetId="4"/>
      <sheetData sheetId="5"/>
      <sheetData sheetId="6">
        <row r="5">
          <cell r="B5">
            <v>0.42675999999999997</v>
          </cell>
        </row>
        <row r="6">
          <cell r="B6">
            <v>0.53405999999999998</v>
          </cell>
        </row>
        <row r="7">
          <cell r="B7">
            <v>0.53405999999999998</v>
          </cell>
        </row>
        <row r="16">
          <cell r="B16">
            <v>0.39167000000000002</v>
          </cell>
        </row>
        <row r="18">
          <cell r="B18">
            <v>-55.172060000000002</v>
          </cell>
        </row>
      </sheetData>
      <sheetData sheetId="7"/>
      <sheetData sheetId="8">
        <row r="27">
          <cell r="B27">
            <v>0.25297999999999998</v>
          </cell>
        </row>
      </sheetData>
      <sheetData sheetId="9">
        <row r="16">
          <cell r="B16">
            <v>4.8919999999999998E-2</v>
          </cell>
        </row>
        <row r="30">
          <cell r="B30">
            <v>2.6780000000000002E-2</v>
          </cell>
        </row>
      </sheetData>
      <sheetData sheetId="10"/>
      <sheetData sheetId="11">
        <row r="30">
          <cell r="B30">
            <v>0.11644</v>
          </cell>
        </row>
      </sheetData>
      <sheetData sheetId="12">
        <row r="101">
          <cell r="B101">
            <v>0.61001000000000016</v>
          </cell>
          <cell r="D101">
            <v>0.4869500000000001</v>
          </cell>
        </row>
        <row r="109">
          <cell r="B109">
            <v>0.47338000000000002</v>
          </cell>
          <cell r="D109">
            <v>0.43458000000000008</v>
          </cell>
        </row>
        <row r="120">
          <cell r="B120">
            <v>0.39167000000000002</v>
          </cell>
        </row>
        <row r="122">
          <cell r="B122">
            <v>-55.172060000000002</v>
          </cell>
        </row>
      </sheetData>
      <sheetData sheetId="13">
        <row r="6">
          <cell r="B6">
            <v>0.62646999999999997</v>
          </cell>
          <cell r="D6">
            <v>0.54303000000000001</v>
          </cell>
        </row>
        <row r="7">
          <cell r="B7">
            <v>-0.10730000000000001</v>
          </cell>
          <cell r="D7">
            <v>-0.10730000000000001</v>
          </cell>
        </row>
        <row r="14">
          <cell r="B14">
            <v>0.52376</v>
          </cell>
          <cell r="D14">
            <v>0.49541000000000002</v>
          </cell>
        </row>
        <row r="15">
          <cell r="B15">
            <v>-0.10730000000000001</v>
          </cell>
          <cell r="D15">
            <v>-0.10730000000000001</v>
          </cell>
        </row>
        <row r="25">
          <cell r="B25">
            <v>0.39167000000000002</v>
          </cell>
        </row>
        <row r="27">
          <cell r="B27">
            <v>-55.172060000000002</v>
          </cell>
        </row>
      </sheetData>
      <sheetData sheetId="14">
        <row r="6">
          <cell r="B6">
            <v>0.73169000000000006</v>
          </cell>
          <cell r="D6">
            <v>0.48758000000000007</v>
          </cell>
          <cell r="F6">
            <v>0.37502999999999997</v>
          </cell>
        </row>
        <row r="14">
          <cell r="B14">
            <v>0.54909000000000008</v>
          </cell>
          <cell r="D14">
            <v>0.41708000000000012</v>
          </cell>
          <cell r="F14">
            <v>0.34535000000000005</v>
          </cell>
        </row>
        <row r="25">
          <cell r="B25">
            <v>0.39167000000000002</v>
          </cell>
        </row>
        <row r="27">
          <cell r="B27">
            <v>-55.172060000000002</v>
          </cell>
        </row>
        <row r="130">
          <cell r="B130">
            <v>0.72877999999999998</v>
          </cell>
          <cell r="D130">
            <v>0.48467000000000005</v>
          </cell>
          <cell r="F130">
            <v>0.37212000000000001</v>
          </cell>
        </row>
        <row r="138">
          <cell r="B138">
            <v>0.54624000000000006</v>
          </cell>
          <cell r="D138">
            <v>0.4142300000000001</v>
          </cell>
          <cell r="F138">
            <v>0.34250000000000003</v>
          </cell>
        </row>
        <row r="149">
          <cell r="B149">
            <v>4.9279999999999997E-2</v>
          </cell>
        </row>
      </sheetData>
      <sheetData sheetId="15">
        <row r="6">
          <cell r="B6">
            <v>0.66459999999999997</v>
          </cell>
          <cell r="D6">
            <v>0.55410999999999999</v>
          </cell>
          <cell r="F6">
            <v>0.35210000000000002</v>
          </cell>
        </row>
        <row r="14">
          <cell r="B14">
            <v>0.53749000000000002</v>
          </cell>
          <cell r="D14">
            <v>0.52078999999999998</v>
          </cell>
          <cell r="F14">
            <v>0.35210000000000002</v>
          </cell>
        </row>
        <row r="25">
          <cell r="B25">
            <v>0.39167000000000002</v>
          </cell>
        </row>
        <row r="27">
          <cell r="B27">
            <v>-55.172060000000002</v>
          </cell>
        </row>
      </sheetData>
      <sheetData sheetId="16">
        <row r="7">
          <cell r="B7">
            <v>0.59504999999999997</v>
          </cell>
          <cell r="D7">
            <v>0.46009</v>
          </cell>
        </row>
        <row r="15">
          <cell r="B15">
            <v>0.50544999999999995</v>
          </cell>
          <cell r="D15">
            <v>0.46683999999999998</v>
          </cell>
        </row>
        <row r="26">
          <cell r="B26">
            <v>0.39167000000000002</v>
          </cell>
        </row>
        <row r="28">
          <cell r="B28">
            <v>-55.172060000000002</v>
          </cell>
        </row>
      </sheetData>
      <sheetData sheetId="17">
        <row r="3">
          <cell r="B3">
            <v>0.49281000000000003</v>
          </cell>
        </row>
        <row r="7">
          <cell r="B7">
            <v>0.64327999999999996</v>
          </cell>
          <cell r="D7">
            <v>0.48139999999999999</v>
          </cell>
          <cell r="F7">
            <v>0.42471999999999999</v>
          </cell>
        </row>
        <row r="14">
          <cell r="B14">
            <v>0.41177000000000002</v>
          </cell>
          <cell r="D14">
            <v>0.38968000000000003</v>
          </cell>
          <cell r="F14">
            <v>0.37581999999999999</v>
          </cell>
        </row>
        <row r="25">
          <cell r="B25">
            <v>-55.172060000000002</v>
          </cell>
        </row>
      </sheetData>
      <sheetData sheetId="18"/>
      <sheetData sheetId="19">
        <row r="5">
          <cell r="C5">
            <v>34.985999999999997</v>
          </cell>
        </row>
      </sheetData>
      <sheetData sheetId="20"/>
      <sheetData sheetId="21">
        <row r="85">
          <cell r="C85">
            <v>13.5</v>
          </cell>
          <cell r="E85">
            <v>11</v>
          </cell>
          <cell r="G85">
            <v>15.2</v>
          </cell>
          <cell r="I85">
            <v>26</v>
          </cell>
        </row>
        <row r="86">
          <cell r="C86">
            <v>9.8000000000000007</v>
          </cell>
          <cell r="E86">
            <v>11</v>
          </cell>
          <cell r="G86">
            <v>8.5</v>
          </cell>
          <cell r="I86">
            <v>26</v>
          </cell>
        </row>
        <row r="87">
          <cell r="C87">
            <v>17.7</v>
          </cell>
          <cell r="E87">
            <v>10.4</v>
          </cell>
          <cell r="G87">
            <v>19.899999999999999</v>
          </cell>
          <cell r="I87">
            <v>26.7</v>
          </cell>
        </row>
        <row r="88">
          <cell r="C88">
            <v>15</v>
          </cell>
          <cell r="E88">
            <v>10.199999999999999</v>
          </cell>
          <cell r="G88">
            <v>17.8</v>
          </cell>
          <cell r="I88">
            <v>23.7</v>
          </cell>
        </row>
        <row r="89">
          <cell r="C89">
            <v>6.5</v>
          </cell>
          <cell r="E89">
            <v>7.5</v>
          </cell>
          <cell r="G89">
            <v>7.1</v>
          </cell>
          <cell r="I89">
            <v>12.9</v>
          </cell>
        </row>
        <row r="90">
          <cell r="C90">
            <v>7.1</v>
          </cell>
          <cell r="E90">
            <v>8.1</v>
          </cell>
          <cell r="G90">
            <v>10.4</v>
          </cell>
          <cell r="I90">
            <v>19.100000000000001</v>
          </cell>
        </row>
        <row r="91">
          <cell r="C91">
            <v>19.2</v>
          </cell>
          <cell r="E91">
            <v>9.8000000000000007</v>
          </cell>
          <cell r="G91">
            <v>22.4</v>
          </cell>
          <cell r="I91">
            <v>19</v>
          </cell>
        </row>
        <row r="92">
          <cell r="C92">
            <v>9.8000000000000007</v>
          </cell>
          <cell r="E92">
            <v>9.6999999999999993</v>
          </cell>
          <cell r="G92">
            <v>8.5</v>
          </cell>
          <cell r="I92">
            <v>14.6</v>
          </cell>
        </row>
        <row r="93">
          <cell r="C93">
            <v>10.5</v>
          </cell>
          <cell r="E93">
            <v>11.1</v>
          </cell>
          <cell r="G93">
            <v>12</v>
          </cell>
          <cell r="I93">
            <v>24</v>
          </cell>
        </row>
        <row r="94">
          <cell r="C94">
            <v>5.9</v>
          </cell>
          <cell r="E94">
            <v>7.8</v>
          </cell>
          <cell r="G94">
            <v>6.7</v>
          </cell>
          <cell r="I94">
            <v>15.7</v>
          </cell>
        </row>
        <row r="124">
          <cell r="C124">
            <v>4.5999999999999996</v>
          </cell>
          <cell r="E124">
            <v>4.8</v>
          </cell>
          <cell r="G124">
            <v>8.4</v>
          </cell>
          <cell r="I124">
            <v>15.3</v>
          </cell>
        </row>
        <row r="125">
          <cell r="C125">
            <v>5.0999999999999996</v>
          </cell>
          <cell r="E125">
            <v>4.8</v>
          </cell>
          <cell r="G125">
            <v>6.9</v>
          </cell>
          <cell r="I125">
            <v>15.3</v>
          </cell>
        </row>
        <row r="126">
          <cell r="C126">
            <v>7.5</v>
          </cell>
          <cell r="E126">
            <v>4.9000000000000004</v>
          </cell>
          <cell r="G126">
            <v>9.1</v>
          </cell>
          <cell r="I126">
            <v>12.9</v>
          </cell>
        </row>
        <row r="127">
          <cell r="C127">
            <v>6.4</v>
          </cell>
          <cell r="E127">
            <v>5</v>
          </cell>
          <cell r="G127">
            <v>9.3000000000000007</v>
          </cell>
          <cell r="I127">
            <v>12.4</v>
          </cell>
        </row>
        <row r="128">
          <cell r="C128">
            <v>3.6</v>
          </cell>
          <cell r="E128">
            <v>4.0999999999999996</v>
          </cell>
          <cell r="G128">
            <v>4.8</v>
          </cell>
          <cell r="I128">
            <v>8.6</v>
          </cell>
        </row>
        <row r="129">
          <cell r="C129">
            <v>4</v>
          </cell>
          <cell r="E129">
            <v>4.5999999999999996</v>
          </cell>
          <cell r="G129">
            <v>6</v>
          </cell>
          <cell r="I129">
            <v>10.6</v>
          </cell>
        </row>
        <row r="130">
          <cell r="C130">
            <v>7.8</v>
          </cell>
          <cell r="E130">
            <v>5</v>
          </cell>
          <cell r="G130">
            <v>11.1</v>
          </cell>
          <cell r="I130">
            <v>11.2</v>
          </cell>
        </row>
        <row r="131">
          <cell r="C131">
            <v>5.0999999999999996</v>
          </cell>
          <cell r="E131">
            <v>5.4</v>
          </cell>
          <cell r="G131">
            <v>6.9</v>
          </cell>
          <cell r="I131">
            <v>12.3</v>
          </cell>
        </row>
        <row r="132">
          <cell r="C132">
            <v>7.6</v>
          </cell>
          <cell r="E132">
            <v>7.6</v>
          </cell>
          <cell r="G132">
            <v>6.7</v>
          </cell>
          <cell r="I132">
            <v>13.7</v>
          </cell>
        </row>
        <row r="133">
          <cell r="C133">
            <v>4.3</v>
          </cell>
          <cell r="E133">
            <v>5.2</v>
          </cell>
          <cell r="G133">
            <v>4.2</v>
          </cell>
          <cell r="I133">
            <v>9</v>
          </cell>
        </row>
      </sheetData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 Results"/>
      <sheetName val="DA,CCA Results"/>
    </sheetNames>
    <sheetDataSet>
      <sheetData sheetId="0">
        <row r="22">
          <cell r="AY22">
            <v>0.45411557290531068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illing Table_Rounded"/>
      <sheetName val="04-01-24_effective_rounded"/>
    </sheetNames>
    <sheetDataSet>
      <sheetData sheetId="0">
        <row r="731">
          <cell r="B731">
            <v>35</v>
          </cell>
        </row>
      </sheetData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Vasquez, Wendy" id="{0243378A-5AC0-4E82-AEE5-EEE844928C0E}" userId="S::WVV1@pge.com::e8726115-a185-43bc-ab2f-5218da7a6e19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1" dT="2024-03-22T22:21:50.86" personId="{0243378A-5AC0-4E82-AEE5-EEE844928C0E}" id="{CF528E68-FD3F-42D3-BC74-C05E2790FA78}">
    <text>@Bacon, Liz. The EM-TOU schedule has a total meter charge but the E-TOU-C schedule does not. I believe we combined these two schedules under Ben's guidance. Will I need to break them back out to accurately report the rates or can I add in a one-time foot note?</text>
  </threadedComment>
  <threadedComment ref="D11" dT="2024-03-22T22:39:23.82" personId="{0243378A-5AC0-4E82-AEE5-EEE844928C0E}" id="{0192760C-73E8-4D5A-AA4B-AA84A46287C7}" parentId="{CF528E68-FD3F-42D3-BC74-C05E2790FA78}">
    <text>Foot note added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  <pageSetUpPr fitToPage="1"/>
  </sheetPr>
  <dimension ref="A1:P39"/>
  <sheetViews>
    <sheetView showGridLines="0" tabSelected="1" zoomScaleNormal="100" workbookViewId="0"/>
  </sheetViews>
  <sheetFormatPr defaultRowHeight="12.75"/>
  <cols>
    <col min="1" max="1" width="34.28515625" customWidth="1"/>
    <col min="2" max="2" width="11.85546875" customWidth="1"/>
    <col min="3" max="3" width="16.7109375" customWidth="1"/>
    <col min="4" max="4" width="6.42578125" customWidth="1"/>
    <col min="5" max="5" width="9.85546875" customWidth="1"/>
    <col min="6" max="6" width="14.140625" customWidth="1"/>
    <col min="7" max="7" width="13.7109375" customWidth="1"/>
    <col min="8" max="8" width="15.7109375" customWidth="1"/>
    <col min="9" max="9" width="18.42578125" customWidth="1"/>
    <col min="10" max="10" width="22.28515625" customWidth="1"/>
    <col min="11" max="11" width="12.140625" customWidth="1"/>
    <col min="12" max="12" width="13" customWidth="1"/>
    <col min="13" max="13" width="14.85546875" customWidth="1"/>
    <col min="15" max="15" width="10.5703125" customWidth="1"/>
    <col min="16" max="16" width="12.42578125" customWidth="1"/>
  </cols>
  <sheetData>
    <row r="1" spans="1:16" s="1" customFormat="1" ht="72.599999999999994" customHeight="1">
      <c r="A1" s="15" t="s">
        <v>0</v>
      </c>
      <c r="B1" s="15" t="s">
        <v>1</v>
      </c>
      <c r="C1" s="15" t="s">
        <v>2</v>
      </c>
      <c r="D1" s="153" t="s">
        <v>3</v>
      </c>
      <c r="E1" s="154"/>
      <c r="F1" s="76" t="s">
        <v>4</v>
      </c>
      <c r="G1" s="153" t="s">
        <v>5</v>
      </c>
      <c r="H1" s="160"/>
      <c r="I1" s="154"/>
      <c r="J1" s="100" t="s">
        <v>6</v>
      </c>
      <c r="K1" s="126" t="s">
        <v>7</v>
      </c>
      <c r="L1" s="15" t="s">
        <v>8</v>
      </c>
      <c r="M1" s="112"/>
      <c r="N1"/>
      <c r="O1"/>
      <c r="P1"/>
    </row>
    <row r="2" spans="1:16" s="1" customFormat="1" ht="42" customHeight="1">
      <c r="A2" s="77"/>
      <c r="B2" s="77"/>
      <c r="C2" s="77"/>
      <c r="D2" s="153" t="s">
        <v>9</v>
      </c>
      <c r="E2" s="154"/>
      <c r="F2" s="63" t="s">
        <v>10</v>
      </c>
      <c r="G2" s="15" t="s">
        <v>11</v>
      </c>
      <c r="H2" s="15" t="s">
        <v>12</v>
      </c>
      <c r="I2" s="15" t="s">
        <v>13</v>
      </c>
      <c r="J2" s="125"/>
      <c r="K2" s="125"/>
      <c r="L2" s="77"/>
      <c r="M2"/>
      <c r="N2"/>
      <c r="O2"/>
      <c r="P2"/>
    </row>
    <row r="3" spans="1:16" s="1" customFormat="1" ht="15.6" customHeight="1">
      <c r="A3" s="104" t="s">
        <v>14</v>
      </c>
      <c r="B3" s="147" t="s">
        <v>15</v>
      </c>
      <c r="C3" s="149">
        <f>[1]E1!$B$16</f>
        <v>0.39167000000000002</v>
      </c>
      <c r="D3" s="103" t="s">
        <v>16</v>
      </c>
      <c r="E3" s="129">
        <f>[1]ES!$B$30</f>
        <v>2.6780000000000002E-2</v>
      </c>
      <c r="F3" s="149">
        <f>[1]ES!$B$16</f>
        <v>4.8919999999999998E-2</v>
      </c>
      <c r="G3" s="149">
        <f>[1]E1!$B$5</f>
        <v>0.42675999999999997</v>
      </c>
      <c r="H3" s="149">
        <f>[1]E1!$B$6</f>
        <v>0.53405999999999998</v>
      </c>
      <c r="I3" s="141">
        <f>[1]E1!$B$7</f>
        <v>0.53405999999999998</v>
      </c>
      <c r="J3" s="133">
        <f>-'[1]D-CARE'!$C$5/100</f>
        <v>-0.34985999999999995</v>
      </c>
      <c r="K3" s="136">
        <f>[1]E1!$B$18</f>
        <v>-55.172060000000002</v>
      </c>
      <c r="L3" s="151">
        <f>'[2]B Results'!$AY$22</f>
        <v>0.45411557290531068</v>
      </c>
      <c r="M3" s="113"/>
      <c r="N3"/>
      <c r="O3"/>
      <c r="P3"/>
    </row>
    <row r="4" spans="1:16" s="1" customFormat="1" ht="15.6" customHeight="1">
      <c r="A4" s="101" t="s">
        <v>17</v>
      </c>
      <c r="B4" s="148"/>
      <c r="C4" s="150"/>
      <c r="D4" s="102" t="s">
        <v>18</v>
      </c>
      <c r="E4" s="130">
        <f>[1]ET!$B$30</f>
        <v>0.11644</v>
      </c>
      <c r="F4" s="150"/>
      <c r="G4" s="150"/>
      <c r="H4" s="150"/>
      <c r="I4" s="145"/>
      <c r="J4" s="135"/>
      <c r="K4" s="138"/>
      <c r="L4" s="152"/>
      <c r="M4"/>
      <c r="N4"/>
      <c r="O4"/>
      <c r="P4"/>
    </row>
    <row r="5" spans="1:16" s="1" customFormat="1" ht="72.599999999999994" customHeight="1">
      <c r="A5" s="15" t="s">
        <v>0</v>
      </c>
      <c r="B5" s="15" t="s">
        <v>1</v>
      </c>
      <c r="C5" s="15" t="s">
        <v>2</v>
      </c>
      <c r="D5" s="153" t="s">
        <v>19</v>
      </c>
      <c r="E5" s="154"/>
      <c r="F5" s="15" t="s">
        <v>20</v>
      </c>
      <c r="G5" s="15" t="s">
        <v>21</v>
      </c>
      <c r="H5" s="153" t="s">
        <v>22</v>
      </c>
      <c r="I5" s="154"/>
      <c r="J5" s="100" t="s">
        <v>6</v>
      </c>
      <c r="K5" s="126" t="s">
        <v>23</v>
      </c>
      <c r="L5" s="15" t="s">
        <v>24</v>
      </c>
      <c r="M5"/>
      <c r="N5"/>
      <c r="O5"/>
      <c r="P5"/>
    </row>
    <row r="6" spans="1:16" s="1" customFormat="1" ht="40.15" customHeight="1">
      <c r="A6" s="125"/>
      <c r="B6" s="125"/>
      <c r="C6" s="125"/>
      <c r="D6" s="61"/>
      <c r="E6" s="105"/>
      <c r="F6" s="125"/>
      <c r="G6" s="125"/>
      <c r="H6" s="62" t="s">
        <v>25</v>
      </c>
      <c r="I6" s="62" t="s">
        <v>26</v>
      </c>
      <c r="J6" s="125"/>
      <c r="K6" s="64"/>
      <c r="L6" s="65"/>
      <c r="M6" s="11"/>
      <c r="N6"/>
      <c r="O6"/>
      <c r="P6"/>
    </row>
    <row r="7" spans="1:16" ht="15.75" customHeight="1">
      <c r="A7" s="155" t="s">
        <v>27</v>
      </c>
      <c r="B7" s="156" t="s">
        <v>28</v>
      </c>
      <c r="C7" s="157">
        <f>[1]ETOUB!$B$120</f>
        <v>0.39167000000000002</v>
      </c>
      <c r="D7" s="140" t="s">
        <v>29</v>
      </c>
      <c r="E7" s="141"/>
      <c r="F7" s="158" t="s">
        <v>30</v>
      </c>
      <c r="G7" s="127" t="s">
        <v>31</v>
      </c>
      <c r="H7" s="4">
        <f>[1]ETOUB!$B$101</f>
        <v>0.61001000000000016</v>
      </c>
      <c r="I7" s="4" t="s">
        <v>29</v>
      </c>
      <c r="J7" s="133">
        <f>-'[1]D-CARE'!$C$5/100</f>
        <v>-0.34985999999999995</v>
      </c>
      <c r="K7" s="136">
        <f>[1]ETOUB!$B$122</f>
        <v>-55.172060000000002</v>
      </c>
      <c r="L7" s="139">
        <f>'[2]B Results'!$AY$22</f>
        <v>0.45411557290531068</v>
      </c>
    </row>
    <row r="8" spans="1:16" ht="15.75" customHeight="1">
      <c r="A8" s="155"/>
      <c r="B8" s="156"/>
      <c r="C8" s="157"/>
      <c r="D8" s="142"/>
      <c r="E8" s="143"/>
      <c r="F8" s="159"/>
      <c r="G8" s="5" t="s">
        <v>32</v>
      </c>
      <c r="H8" s="6">
        <f>[1]ETOUB!$D$101</f>
        <v>0.4869500000000001</v>
      </c>
      <c r="I8" s="6" t="s">
        <v>29</v>
      </c>
      <c r="J8" s="134"/>
      <c r="K8" s="137"/>
      <c r="L8" s="139"/>
    </row>
    <row r="9" spans="1:16" ht="15.75" customHeight="1">
      <c r="A9" s="155"/>
      <c r="B9" s="156"/>
      <c r="C9" s="157"/>
      <c r="D9" s="142"/>
      <c r="E9" s="143"/>
      <c r="F9" s="146" t="s">
        <v>33</v>
      </c>
      <c r="G9" s="128" t="s">
        <v>31</v>
      </c>
      <c r="H9" s="7">
        <f>[1]ETOUB!$B$109</f>
        <v>0.47338000000000002</v>
      </c>
      <c r="I9" s="7" t="s">
        <v>29</v>
      </c>
      <c r="J9" s="134"/>
      <c r="K9" s="137"/>
      <c r="L9" s="139">
        <f>'[2]B Results'!$AY$22</f>
        <v>0.45411557290531068</v>
      </c>
    </row>
    <row r="10" spans="1:16" ht="15.75" customHeight="1">
      <c r="A10" s="155"/>
      <c r="B10" s="156"/>
      <c r="C10" s="157"/>
      <c r="D10" s="144"/>
      <c r="E10" s="145"/>
      <c r="F10" s="193"/>
      <c r="G10" s="9" t="s">
        <v>32</v>
      </c>
      <c r="H10" s="8">
        <f>[1]ETOUB!$D$109</f>
        <v>0.43458000000000008</v>
      </c>
      <c r="I10" s="10" t="s">
        <v>29</v>
      </c>
      <c r="J10" s="134"/>
      <c r="K10" s="138"/>
      <c r="L10" s="139"/>
    </row>
    <row r="11" spans="1:16" ht="15.75" customHeight="1">
      <c r="A11" s="155" t="s">
        <v>34</v>
      </c>
      <c r="B11" s="156" t="s">
        <v>35</v>
      </c>
      <c r="C11" s="157">
        <f>[1]ETOUC!$B$25</f>
        <v>0.39167000000000002</v>
      </c>
      <c r="D11" s="140">
        <f>'[1]EM TOU'!$B$27</f>
        <v>0.25297999999999998</v>
      </c>
      <c r="E11" s="141"/>
      <c r="F11" s="158" t="s">
        <v>30</v>
      </c>
      <c r="G11" s="127" t="s">
        <v>31</v>
      </c>
      <c r="H11" s="4">
        <f>[1]ETOUC!$B$6</f>
        <v>0.62646999999999997</v>
      </c>
      <c r="I11" s="106">
        <f>[1]ETOUC!$B$7</f>
        <v>-0.10730000000000001</v>
      </c>
      <c r="J11" s="133">
        <f>-'[1]D-CARE'!$C$5/100</f>
        <v>-0.34985999999999995</v>
      </c>
      <c r="K11" s="136">
        <f>[1]ETOUC!$B$27</f>
        <v>-55.172060000000002</v>
      </c>
      <c r="L11" s="139">
        <f>'[2]B Results'!$AY$22</f>
        <v>0.45411557290531068</v>
      </c>
    </row>
    <row r="12" spans="1:16" ht="15.75" customHeight="1">
      <c r="A12" s="155"/>
      <c r="B12" s="156"/>
      <c r="C12" s="157"/>
      <c r="D12" s="142"/>
      <c r="E12" s="143"/>
      <c r="F12" s="159"/>
      <c r="G12" s="5" t="s">
        <v>32</v>
      </c>
      <c r="H12" s="6">
        <f>[1]ETOUC!$D$6</f>
        <v>0.54303000000000001</v>
      </c>
      <c r="I12" s="107">
        <f>[1]ETOUC!$D$7</f>
        <v>-0.10730000000000001</v>
      </c>
      <c r="J12" s="134"/>
      <c r="K12" s="137"/>
      <c r="L12" s="139"/>
    </row>
    <row r="13" spans="1:16" ht="15.75" customHeight="1">
      <c r="A13" s="155"/>
      <c r="B13" s="156"/>
      <c r="C13" s="157"/>
      <c r="D13" s="142"/>
      <c r="E13" s="143"/>
      <c r="F13" s="146" t="s">
        <v>33</v>
      </c>
      <c r="G13" s="128" t="s">
        <v>31</v>
      </c>
      <c r="H13" s="7">
        <f>[1]ETOUC!$B$14</f>
        <v>0.52376</v>
      </c>
      <c r="I13" s="108">
        <f>[1]ETOUC!$B$15</f>
        <v>-0.10730000000000001</v>
      </c>
      <c r="J13" s="134"/>
      <c r="K13" s="137"/>
      <c r="L13" s="139">
        <f>'[2]B Results'!$AY$22</f>
        <v>0.45411557290531068</v>
      </c>
    </row>
    <row r="14" spans="1:16" ht="15.75" customHeight="1">
      <c r="A14" s="155"/>
      <c r="B14" s="156"/>
      <c r="C14" s="157"/>
      <c r="D14" s="144"/>
      <c r="E14" s="145"/>
      <c r="F14" s="193"/>
      <c r="G14" s="9" t="s">
        <v>32</v>
      </c>
      <c r="H14" s="8">
        <f>[1]ETOUC!$D$14</f>
        <v>0.49541000000000002</v>
      </c>
      <c r="I14" s="109">
        <f>[1]ETOUC!$D$15</f>
        <v>-0.10730000000000001</v>
      </c>
      <c r="J14" s="134"/>
      <c r="K14" s="138"/>
      <c r="L14" s="139"/>
    </row>
    <row r="15" spans="1:16" ht="15.75" customHeight="1">
      <c r="A15" s="155" t="s">
        <v>36</v>
      </c>
      <c r="B15" s="156" t="s">
        <v>35</v>
      </c>
      <c r="C15" s="157">
        <f>[1]ETOUD!$B$26</f>
        <v>0.39167000000000002</v>
      </c>
      <c r="D15" s="140" t="s">
        <v>29</v>
      </c>
      <c r="E15" s="141"/>
      <c r="F15" s="158" t="s">
        <v>30</v>
      </c>
      <c r="G15" s="127" t="s">
        <v>31</v>
      </c>
      <c r="H15" s="4">
        <f>[1]ETOUD!$B$7</f>
        <v>0.59504999999999997</v>
      </c>
      <c r="I15" s="4" t="s">
        <v>29</v>
      </c>
      <c r="J15" s="133">
        <f>-'[1]D-CARE'!$C$5/100</f>
        <v>-0.34985999999999995</v>
      </c>
      <c r="K15" s="136">
        <f>[1]ETOUD!$B$28</f>
        <v>-55.172060000000002</v>
      </c>
      <c r="L15" s="139">
        <f>'[2]B Results'!$AY$22</f>
        <v>0.45411557290531068</v>
      </c>
    </row>
    <row r="16" spans="1:16" ht="15.75" customHeight="1">
      <c r="A16" s="155"/>
      <c r="B16" s="156"/>
      <c r="C16" s="157"/>
      <c r="D16" s="142"/>
      <c r="E16" s="143"/>
      <c r="F16" s="159"/>
      <c r="G16" s="5" t="s">
        <v>32</v>
      </c>
      <c r="H16" s="6">
        <f>[1]ETOUD!$D$7</f>
        <v>0.46009</v>
      </c>
      <c r="I16" s="6" t="s">
        <v>29</v>
      </c>
      <c r="J16" s="134"/>
      <c r="K16" s="137"/>
      <c r="L16" s="139"/>
    </row>
    <row r="17" spans="1:13" ht="15.75" customHeight="1">
      <c r="A17" s="155"/>
      <c r="B17" s="156"/>
      <c r="C17" s="157"/>
      <c r="D17" s="142"/>
      <c r="E17" s="143"/>
      <c r="F17" s="146" t="s">
        <v>33</v>
      </c>
      <c r="G17" s="128" t="s">
        <v>31</v>
      </c>
      <c r="H17" s="7">
        <f>[1]ETOUD!$B$15</f>
        <v>0.50544999999999995</v>
      </c>
      <c r="I17" s="7" t="s">
        <v>29</v>
      </c>
      <c r="J17" s="134"/>
      <c r="K17" s="137"/>
      <c r="L17" s="139">
        <f>'[2]B Results'!$AY$22</f>
        <v>0.45411557290531068</v>
      </c>
    </row>
    <row r="18" spans="1:13" ht="15.75" customHeight="1">
      <c r="A18" s="155"/>
      <c r="B18" s="156"/>
      <c r="C18" s="157"/>
      <c r="D18" s="144"/>
      <c r="E18" s="145"/>
      <c r="F18" s="193"/>
      <c r="G18" s="9" t="s">
        <v>32</v>
      </c>
      <c r="H18" s="10">
        <f>[1]ETOUD!$D$15</f>
        <v>0.46683999999999998</v>
      </c>
      <c r="I18" s="10" t="s">
        <v>29</v>
      </c>
      <c r="J18" s="135"/>
      <c r="K18" s="138"/>
      <c r="L18" s="139"/>
    </row>
    <row r="19" spans="1:13" ht="6.6" customHeight="1">
      <c r="A19" s="2"/>
      <c r="B19" s="3"/>
      <c r="C19" s="11"/>
      <c r="D19" s="16"/>
      <c r="E19" s="16"/>
      <c r="F19" s="17"/>
      <c r="G19" s="18"/>
      <c r="H19" s="19"/>
      <c r="I19" s="11"/>
      <c r="J19" s="11"/>
      <c r="K19" s="11"/>
      <c r="L19" s="11"/>
    </row>
    <row r="20" spans="1:13" ht="13.15" customHeight="1">
      <c r="A20" s="31" t="s">
        <v>37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spans="1:13" ht="13.15" customHeight="1">
      <c r="A21" s="31" t="s">
        <v>38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spans="1:13" ht="13.15" customHeight="1">
      <c r="A22" s="31" t="s">
        <v>39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spans="1:13" ht="13.15" customHeight="1">
      <c r="A23" s="31" t="s">
        <v>40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spans="1:13" ht="13.15" customHeight="1">
      <c r="A24" s="31" t="s">
        <v>41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spans="1:13" ht="13.15" customHeight="1">
      <c r="A25" s="31" t="s">
        <v>42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spans="1:13" ht="13.15" customHeight="1">
      <c r="A26" s="31" t="s">
        <v>43</v>
      </c>
      <c r="B26" s="3"/>
      <c r="C26" s="3"/>
      <c r="D26" s="3"/>
      <c r="E26" s="3"/>
      <c r="F26" s="3"/>
      <c r="G26" s="3"/>
      <c r="H26" s="3"/>
      <c r="I26" s="3"/>
      <c r="J26" s="3"/>
      <c r="K26" s="12"/>
      <c r="L26" s="12"/>
      <c r="M26" s="13"/>
    </row>
    <row r="27" spans="1:13" ht="13.15" customHeight="1">
      <c r="A27" s="31" t="s">
        <v>44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13.15" customHeight="1">
      <c r="A28" s="31" t="s">
        <v>45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ht="13.15" customHeight="1">
      <c r="A29" s="123" t="s">
        <v>46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ht="13.15" customHeight="1">
      <c r="A30" s="31" t="s">
        <v>47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ht="13.15" customHeight="1">
      <c r="A31" s="124" t="s">
        <v>48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ht="8.4499999999999993" customHeight="1">
      <c r="A32" s="31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12.75" customHeight="1">
      <c r="A33" s="78" t="s">
        <v>49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>
      <c r="A34" s="32" t="s">
        <v>50</v>
      </c>
    </row>
    <row r="35" spans="1:13">
      <c r="A35" s="119" t="s">
        <v>51</v>
      </c>
    </row>
    <row r="36" spans="1:13" ht="7.9" customHeight="1">
      <c r="A36" s="119"/>
    </row>
    <row r="37" spans="1:13">
      <c r="A37" s="119" t="s">
        <v>52</v>
      </c>
    </row>
    <row r="38" spans="1:13">
      <c r="A38" s="117" t="s">
        <v>53</v>
      </c>
    </row>
    <row r="39" spans="1:13">
      <c r="A39" s="118"/>
    </row>
  </sheetData>
  <mergeCells count="41">
    <mergeCell ref="A11:A14"/>
    <mergeCell ref="B11:B14"/>
    <mergeCell ref="A7:A10"/>
    <mergeCell ref="B7:B10"/>
    <mergeCell ref="C7:C10"/>
    <mergeCell ref="C11:C14"/>
    <mergeCell ref="G1:I1"/>
    <mergeCell ref="F11:F12"/>
    <mergeCell ref="D1:E1"/>
    <mergeCell ref="D2:E2"/>
    <mergeCell ref="F7:F8"/>
    <mergeCell ref="F9:F10"/>
    <mergeCell ref="A15:A18"/>
    <mergeCell ref="B15:B18"/>
    <mergeCell ref="C15:C18"/>
    <mergeCell ref="F15:F16"/>
    <mergeCell ref="D15:E18"/>
    <mergeCell ref="F17:F18"/>
    <mergeCell ref="B3:B4"/>
    <mergeCell ref="C3:C4"/>
    <mergeCell ref="F3:F4"/>
    <mergeCell ref="L3:L4"/>
    <mergeCell ref="D5:E5"/>
    <mergeCell ref="G3:G4"/>
    <mergeCell ref="H3:H4"/>
    <mergeCell ref="I3:I4"/>
    <mergeCell ref="J3:J4"/>
    <mergeCell ref="K3:K4"/>
    <mergeCell ref="H5:I5"/>
    <mergeCell ref="J15:J18"/>
    <mergeCell ref="K15:K18"/>
    <mergeCell ref="L15:L18"/>
    <mergeCell ref="D7:E10"/>
    <mergeCell ref="D11:E14"/>
    <mergeCell ref="F13:F14"/>
    <mergeCell ref="K11:K14"/>
    <mergeCell ref="K7:K10"/>
    <mergeCell ref="L11:L14"/>
    <mergeCell ref="L7:L10"/>
    <mergeCell ref="J7:J10"/>
    <mergeCell ref="J11:J14"/>
  </mergeCells>
  <phoneticPr fontId="0" type="noConversion"/>
  <printOptions horizontalCentered="1" verticalCentered="1"/>
  <pageMargins left="0" right="0" top="0.76" bottom="0.36" header="0.25" footer="0.2"/>
  <pageSetup scale="75" orientation="landscape" r:id="rId1"/>
  <headerFooter alignWithMargins="0">
    <oddHeader xml:space="preserve">&amp;C&amp;"Arial,Bold"&amp;14Pacific Gas and Electric Company&amp;12 &amp;10
&amp;12Residential and Time-of-Use Electric Rates&amp;14 
&amp;"Arial,Regular"&amp;8(Rate Schedules E1, EM, ES, ET, E6, EM-TOU, E-TOU-B, E-TOU-C, E-TOU-D)&amp;RRates Effective:
April 1, 2024 to May 31, 2024
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90CAD-AC25-4626-A75F-6E5B9B534C67}">
  <sheetPr>
    <tabColor theme="3" tint="0.39997558519241921"/>
    <pageSetUpPr fitToPage="1"/>
  </sheetPr>
  <dimension ref="A1:O47"/>
  <sheetViews>
    <sheetView showGridLines="0" zoomScaleNormal="100" workbookViewId="0"/>
  </sheetViews>
  <sheetFormatPr defaultRowHeight="12.75"/>
  <cols>
    <col min="1" max="1" width="34.28515625" customWidth="1"/>
    <col min="2" max="2" width="11.85546875" customWidth="1"/>
    <col min="3" max="4" width="16.7109375" customWidth="1"/>
    <col min="5" max="5" width="6.42578125" customWidth="1"/>
    <col min="6" max="6" width="9.85546875" customWidth="1"/>
    <col min="7" max="7" width="14.140625" customWidth="1"/>
    <col min="8" max="8" width="11.42578125" customWidth="1"/>
    <col min="9" max="9" width="16.7109375" customWidth="1"/>
    <col min="10" max="10" width="22.28515625" customWidth="1"/>
    <col min="11" max="11" width="10.7109375" customWidth="1"/>
    <col min="12" max="12" width="19.140625" customWidth="1"/>
    <col min="14" max="14" width="10.5703125" customWidth="1"/>
    <col min="15" max="15" width="12.42578125" customWidth="1"/>
  </cols>
  <sheetData>
    <row r="1" spans="1:15" s="1" customFormat="1" ht="72.599999999999994" customHeight="1">
      <c r="A1" s="28" t="s">
        <v>0</v>
      </c>
      <c r="B1" s="29" t="s">
        <v>1</v>
      </c>
      <c r="C1" s="15" t="s">
        <v>2</v>
      </c>
      <c r="D1" s="15" t="s">
        <v>54</v>
      </c>
      <c r="E1" s="153" t="s">
        <v>55</v>
      </c>
      <c r="F1" s="154"/>
      <c r="G1" s="15" t="s">
        <v>20</v>
      </c>
      <c r="H1" s="30" t="s">
        <v>56</v>
      </c>
      <c r="I1" s="15" t="s">
        <v>57</v>
      </c>
      <c r="J1" s="100" t="s">
        <v>58</v>
      </c>
      <c r="K1" s="126" t="s">
        <v>59</v>
      </c>
      <c r="L1" s="11"/>
      <c r="M1"/>
      <c r="N1"/>
      <c r="O1"/>
    </row>
    <row r="2" spans="1:15" s="1" customFormat="1" ht="15.6" customHeight="1">
      <c r="A2" s="162" t="s">
        <v>60</v>
      </c>
      <c r="B2" s="147" t="s">
        <v>61</v>
      </c>
      <c r="C2" s="149">
        <f>[1]EV!$B$25</f>
        <v>0.39167000000000002</v>
      </c>
      <c r="D2" s="149" t="s">
        <v>29</v>
      </c>
      <c r="E2" s="140" t="s">
        <v>29</v>
      </c>
      <c r="F2" s="141"/>
      <c r="G2" s="158" t="s">
        <v>30</v>
      </c>
      <c r="H2" s="127" t="s">
        <v>31</v>
      </c>
      <c r="I2" s="4">
        <f>[1]EV!$B$6</f>
        <v>0.73169000000000006</v>
      </c>
      <c r="J2" s="168" t="s">
        <v>29</v>
      </c>
      <c r="K2" s="136">
        <f>[1]EV!$B$27</f>
        <v>-55.172060000000002</v>
      </c>
      <c r="L2" s="11"/>
      <c r="M2"/>
      <c r="N2"/>
      <c r="O2"/>
    </row>
    <row r="3" spans="1:15" s="1" customFormat="1" ht="15.6" customHeight="1">
      <c r="A3" s="163"/>
      <c r="B3" s="165"/>
      <c r="C3" s="171"/>
      <c r="D3" s="166"/>
      <c r="E3" s="142"/>
      <c r="F3" s="143"/>
      <c r="G3" s="159"/>
      <c r="H3" s="5" t="s">
        <v>62</v>
      </c>
      <c r="I3" s="6">
        <f>[1]EV!$D$6</f>
        <v>0.48758000000000007</v>
      </c>
      <c r="J3" s="169"/>
      <c r="K3" s="137"/>
      <c r="L3" s="11"/>
      <c r="M3"/>
      <c r="N3"/>
      <c r="O3"/>
    </row>
    <row r="4" spans="1:15" s="1" customFormat="1" ht="15.6" customHeight="1">
      <c r="A4" s="163"/>
      <c r="B4" s="165"/>
      <c r="C4" s="171"/>
      <c r="D4" s="166"/>
      <c r="E4" s="142"/>
      <c r="F4" s="143"/>
      <c r="G4" s="159"/>
      <c r="H4" s="5" t="s">
        <v>32</v>
      </c>
      <c r="I4" s="6">
        <f>[1]EV!$F$6</f>
        <v>0.37502999999999997</v>
      </c>
      <c r="J4" s="169"/>
      <c r="K4" s="137"/>
      <c r="L4" s="11"/>
      <c r="M4"/>
      <c r="N4"/>
      <c r="O4"/>
    </row>
    <row r="5" spans="1:15" s="1" customFormat="1" ht="15.6" customHeight="1">
      <c r="A5" s="163"/>
      <c r="B5" s="165"/>
      <c r="C5" s="171"/>
      <c r="D5" s="166"/>
      <c r="E5" s="142"/>
      <c r="F5" s="143"/>
      <c r="G5" s="146" t="s">
        <v>33</v>
      </c>
      <c r="H5" s="128" t="s">
        <v>31</v>
      </c>
      <c r="I5" s="7">
        <f>[1]EV!$B$14</f>
        <v>0.54909000000000008</v>
      </c>
      <c r="J5" s="169"/>
      <c r="K5" s="137"/>
      <c r="L5" s="11"/>
      <c r="M5"/>
      <c r="N5"/>
      <c r="O5"/>
    </row>
    <row r="6" spans="1:15" s="1" customFormat="1" ht="15.6" customHeight="1">
      <c r="A6" s="163"/>
      <c r="B6" s="165"/>
      <c r="C6" s="171"/>
      <c r="D6" s="166"/>
      <c r="E6" s="142"/>
      <c r="F6" s="143"/>
      <c r="G6" s="159"/>
      <c r="H6" s="132" t="s">
        <v>62</v>
      </c>
      <c r="I6" s="8">
        <f>[1]EV!$D$14</f>
        <v>0.41708000000000012</v>
      </c>
      <c r="J6" s="169"/>
      <c r="K6" s="137"/>
      <c r="L6" s="11"/>
      <c r="M6"/>
      <c r="N6"/>
      <c r="O6"/>
    </row>
    <row r="7" spans="1:15" s="1" customFormat="1" ht="15.6" customHeight="1">
      <c r="A7" s="164"/>
      <c r="B7" s="164"/>
      <c r="C7" s="131"/>
      <c r="D7" s="150"/>
      <c r="E7" s="144"/>
      <c r="F7" s="145"/>
      <c r="G7" s="159"/>
      <c r="H7" s="132" t="s">
        <v>32</v>
      </c>
      <c r="I7" s="8">
        <f>[1]EV!$F$14</f>
        <v>0.34535000000000005</v>
      </c>
      <c r="J7" s="170"/>
      <c r="K7" s="138"/>
      <c r="L7" s="11"/>
      <c r="M7"/>
      <c r="N7"/>
      <c r="O7"/>
    </row>
    <row r="8" spans="1:15" s="1" customFormat="1" ht="15.6" customHeight="1">
      <c r="A8" s="162" t="s">
        <v>63</v>
      </c>
      <c r="B8" s="156" t="s">
        <v>61</v>
      </c>
      <c r="C8" s="157" t="s">
        <v>29</v>
      </c>
      <c r="D8" s="149" t="s">
        <v>29</v>
      </c>
      <c r="E8" s="140">
        <f>[1]EV!$B$149</f>
        <v>4.9279999999999997E-2</v>
      </c>
      <c r="F8" s="141"/>
      <c r="G8" s="158" t="s">
        <v>30</v>
      </c>
      <c r="H8" s="127" t="s">
        <v>31</v>
      </c>
      <c r="I8" s="4">
        <f>[1]EV!$B$130</f>
        <v>0.72877999999999998</v>
      </c>
      <c r="J8" s="168" t="s">
        <v>29</v>
      </c>
      <c r="K8" s="136" t="s">
        <v>29</v>
      </c>
      <c r="L8" s="11"/>
      <c r="M8"/>
      <c r="N8"/>
      <c r="O8"/>
    </row>
    <row r="9" spans="1:15" s="1" customFormat="1" ht="15.6" customHeight="1">
      <c r="A9" s="163"/>
      <c r="B9" s="156"/>
      <c r="C9" s="157"/>
      <c r="D9" s="166"/>
      <c r="E9" s="142"/>
      <c r="F9" s="143"/>
      <c r="G9" s="159"/>
      <c r="H9" s="5" t="s">
        <v>62</v>
      </c>
      <c r="I9" s="6">
        <f>[1]EV!$D$130</f>
        <v>0.48467000000000005</v>
      </c>
      <c r="J9" s="169"/>
      <c r="K9" s="137"/>
      <c r="L9" s="11"/>
      <c r="M9"/>
      <c r="N9"/>
      <c r="O9"/>
    </row>
    <row r="10" spans="1:15" s="1" customFormat="1" ht="15.6" customHeight="1">
      <c r="A10" s="163"/>
      <c r="B10" s="156"/>
      <c r="C10" s="157"/>
      <c r="D10" s="166"/>
      <c r="E10" s="142"/>
      <c r="F10" s="143"/>
      <c r="G10" s="159"/>
      <c r="H10" s="5" t="s">
        <v>32</v>
      </c>
      <c r="I10" s="6">
        <f>[1]EV!$F$130</f>
        <v>0.37212000000000001</v>
      </c>
      <c r="J10" s="169"/>
      <c r="K10" s="137"/>
      <c r="L10" s="11"/>
      <c r="M10"/>
      <c r="N10"/>
      <c r="O10"/>
    </row>
    <row r="11" spans="1:15" s="1" customFormat="1" ht="15.6" customHeight="1">
      <c r="A11" s="163"/>
      <c r="B11" s="156"/>
      <c r="C11" s="157"/>
      <c r="D11" s="166"/>
      <c r="E11" s="142"/>
      <c r="F11" s="143"/>
      <c r="G11" s="146" t="s">
        <v>33</v>
      </c>
      <c r="H11" s="128" t="s">
        <v>31</v>
      </c>
      <c r="I11" s="7">
        <f>[1]EV!$B$138</f>
        <v>0.54624000000000006</v>
      </c>
      <c r="J11" s="169"/>
      <c r="K11" s="137"/>
      <c r="L11" s="11"/>
      <c r="M11"/>
      <c r="N11"/>
      <c r="O11"/>
    </row>
    <row r="12" spans="1:15" s="1" customFormat="1" ht="15.6" customHeight="1">
      <c r="A12" s="163"/>
      <c r="B12" s="156"/>
      <c r="C12" s="157"/>
      <c r="D12" s="166"/>
      <c r="E12" s="142"/>
      <c r="F12" s="143"/>
      <c r="G12" s="159"/>
      <c r="H12" s="132" t="s">
        <v>62</v>
      </c>
      <c r="I12" s="8">
        <f>[1]EV!$D$138</f>
        <v>0.4142300000000001</v>
      </c>
      <c r="J12" s="169"/>
      <c r="K12" s="137"/>
      <c r="L12" s="11"/>
      <c r="M12"/>
      <c r="N12"/>
      <c r="O12"/>
    </row>
    <row r="13" spans="1:15" s="1" customFormat="1" ht="15.6" customHeight="1">
      <c r="A13" s="164"/>
      <c r="B13" s="156"/>
      <c r="C13" s="157"/>
      <c r="D13" s="150"/>
      <c r="E13" s="144"/>
      <c r="F13" s="145"/>
      <c r="G13" s="161"/>
      <c r="H13" s="9" t="s">
        <v>32</v>
      </c>
      <c r="I13" s="8">
        <f>[1]EV!$F$138</f>
        <v>0.34250000000000003</v>
      </c>
      <c r="J13" s="170"/>
      <c r="K13" s="138"/>
      <c r="L13" s="11"/>
      <c r="M13"/>
      <c r="N13"/>
      <c r="O13"/>
    </row>
    <row r="14" spans="1:15" s="1" customFormat="1" ht="15.6" customHeight="1">
      <c r="A14" s="162" t="s">
        <v>64</v>
      </c>
      <c r="B14" s="147" t="s">
        <v>61</v>
      </c>
      <c r="C14" s="149">
        <f>[1]EV2!$B$25</f>
        <v>0.39167000000000002</v>
      </c>
      <c r="D14" s="149" t="s">
        <v>29</v>
      </c>
      <c r="E14" s="140" t="s">
        <v>29</v>
      </c>
      <c r="F14" s="141"/>
      <c r="G14" s="158" t="s">
        <v>30</v>
      </c>
      <c r="H14" s="127" t="s">
        <v>31</v>
      </c>
      <c r="I14" s="4">
        <f>[1]EV2!$B$6</f>
        <v>0.66459999999999997</v>
      </c>
      <c r="J14" s="133">
        <f>-'[1]D-CARE'!$C$5/100</f>
        <v>-0.34985999999999995</v>
      </c>
      <c r="K14" s="136">
        <f>[1]EV2!$B$27</f>
        <v>-55.172060000000002</v>
      </c>
      <c r="L14" s="11"/>
      <c r="M14"/>
      <c r="N14"/>
      <c r="O14"/>
    </row>
    <row r="15" spans="1:15" s="1" customFormat="1" ht="15.6" customHeight="1">
      <c r="A15" s="163"/>
      <c r="B15" s="165"/>
      <c r="C15" s="166"/>
      <c r="D15" s="166"/>
      <c r="E15" s="142"/>
      <c r="F15" s="143"/>
      <c r="G15" s="159"/>
      <c r="H15" s="5" t="s">
        <v>62</v>
      </c>
      <c r="I15" s="6">
        <f>[1]EV2!$D$6</f>
        <v>0.55410999999999999</v>
      </c>
      <c r="J15" s="134"/>
      <c r="K15" s="137"/>
      <c r="L15" s="11"/>
      <c r="M15"/>
      <c r="N15"/>
      <c r="O15"/>
    </row>
    <row r="16" spans="1:15" s="1" customFormat="1" ht="15.6" customHeight="1">
      <c r="A16" s="163"/>
      <c r="B16" s="165"/>
      <c r="C16" s="166"/>
      <c r="D16" s="166"/>
      <c r="E16" s="142"/>
      <c r="F16" s="143"/>
      <c r="G16" s="161"/>
      <c r="H16" s="120" t="s">
        <v>32</v>
      </c>
      <c r="I16" s="121">
        <f>[1]EV2!$F$6</f>
        <v>0.35210000000000002</v>
      </c>
      <c r="J16" s="134"/>
      <c r="K16" s="137"/>
      <c r="L16" s="11"/>
      <c r="M16"/>
      <c r="N16"/>
      <c r="O16"/>
    </row>
    <row r="17" spans="1:15" s="1" customFormat="1" ht="15.6" customHeight="1">
      <c r="A17" s="163"/>
      <c r="B17" s="165"/>
      <c r="C17" s="166"/>
      <c r="D17" s="166"/>
      <c r="E17" s="142"/>
      <c r="F17" s="143"/>
      <c r="G17" s="167" t="s">
        <v>33</v>
      </c>
      <c r="H17" s="132" t="s">
        <v>31</v>
      </c>
      <c r="I17" s="8">
        <f>[1]EV2!$B$14</f>
        <v>0.53749000000000002</v>
      </c>
      <c r="J17" s="134"/>
      <c r="K17" s="137"/>
      <c r="L17" s="11"/>
      <c r="M17"/>
      <c r="N17"/>
      <c r="O17"/>
    </row>
    <row r="18" spans="1:15" s="1" customFormat="1" ht="16.149999999999999" customHeight="1">
      <c r="A18" s="163"/>
      <c r="B18" s="165"/>
      <c r="C18" s="166"/>
      <c r="D18" s="166"/>
      <c r="E18" s="142"/>
      <c r="F18" s="143"/>
      <c r="G18" s="159"/>
      <c r="H18" s="132" t="s">
        <v>62</v>
      </c>
      <c r="I18" s="8">
        <f>[1]EV2!$D$14</f>
        <v>0.52078999999999998</v>
      </c>
      <c r="J18" s="134"/>
      <c r="K18" s="137"/>
      <c r="L18" s="11"/>
      <c r="M18"/>
      <c r="N18"/>
      <c r="O18"/>
    </row>
    <row r="19" spans="1:15" s="1" customFormat="1" ht="15.6" customHeight="1">
      <c r="A19" s="164"/>
      <c r="B19" s="164"/>
      <c r="C19" s="150"/>
      <c r="D19" s="150"/>
      <c r="E19" s="144"/>
      <c r="F19" s="145"/>
      <c r="G19" s="161"/>
      <c r="H19" s="9" t="s">
        <v>32</v>
      </c>
      <c r="I19" s="10">
        <f>[1]EV2!$F$14</f>
        <v>0.35210000000000002</v>
      </c>
      <c r="J19" s="135"/>
      <c r="K19" s="138"/>
      <c r="L19" s="11"/>
      <c r="M19"/>
      <c r="N19"/>
      <c r="O19"/>
    </row>
    <row r="20" spans="1:15" s="1" customFormat="1" ht="15.6" customHeight="1">
      <c r="A20" s="162" t="s">
        <v>65</v>
      </c>
      <c r="B20" s="147" t="s">
        <v>61</v>
      </c>
      <c r="C20" s="149" t="s">
        <v>29</v>
      </c>
      <c r="D20" s="149">
        <f>'[1]E-ELEC'!$B$3</f>
        <v>0.49281000000000003</v>
      </c>
      <c r="E20" s="140" t="s">
        <v>29</v>
      </c>
      <c r="F20" s="141"/>
      <c r="G20" s="158" t="s">
        <v>30</v>
      </c>
      <c r="H20" s="127" t="s">
        <v>31</v>
      </c>
      <c r="I20" s="4">
        <f>'[1]E-ELEC'!$B$7</f>
        <v>0.64327999999999996</v>
      </c>
      <c r="J20" s="133">
        <f>-'[3]Billing Table_Rounded'!$B$731/100</f>
        <v>-0.35</v>
      </c>
      <c r="K20" s="136">
        <f>'[1]E-ELEC'!$B$25</f>
        <v>-55.172060000000002</v>
      </c>
      <c r="L20" s="11"/>
      <c r="M20"/>
      <c r="N20"/>
      <c r="O20"/>
    </row>
    <row r="21" spans="1:15" s="1" customFormat="1" ht="15.6" customHeight="1">
      <c r="A21" s="163"/>
      <c r="B21" s="165"/>
      <c r="C21" s="166"/>
      <c r="D21" s="166"/>
      <c r="E21" s="142"/>
      <c r="F21" s="143"/>
      <c r="G21" s="159"/>
      <c r="H21" s="5" t="s">
        <v>62</v>
      </c>
      <c r="I21" s="6">
        <f>'[1]E-ELEC'!$D$7</f>
        <v>0.48139999999999999</v>
      </c>
      <c r="J21" s="134"/>
      <c r="K21" s="137"/>
      <c r="L21" s="11"/>
      <c r="M21"/>
      <c r="N21"/>
      <c r="O21"/>
    </row>
    <row r="22" spans="1:15" s="1" customFormat="1" ht="15.6" customHeight="1">
      <c r="A22" s="163"/>
      <c r="B22" s="165"/>
      <c r="C22" s="166"/>
      <c r="D22" s="166"/>
      <c r="E22" s="142"/>
      <c r="F22" s="143"/>
      <c r="G22" s="159"/>
      <c r="H22" s="5" t="s">
        <v>32</v>
      </c>
      <c r="I22" s="6">
        <f>'[1]E-ELEC'!$F$7</f>
        <v>0.42471999999999999</v>
      </c>
      <c r="J22" s="134"/>
      <c r="K22" s="137"/>
      <c r="L22" s="11"/>
      <c r="M22"/>
      <c r="N22"/>
      <c r="O22"/>
    </row>
    <row r="23" spans="1:15" s="1" customFormat="1" ht="15.6" customHeight="1">
      <c r="A23" s="163"/>
      <c r="B23" s="165"/>
      <c r="C23" s="166"/>
      <c r="D23" s="166"/>
      <c r="E23" s="142"/>
      <c r="F23" s="143"/>
      <c r="G23" s="146" t="s">
        <v>33</v>
      </c>
      <c r="H23" s="128" t="s">
        <v>31</v>
      </c>
      <c r="I23" s="7">
        <f>'[1]E-ELEC'!$B$14</f>
        <v>0.41177000000000002</v>
      </c>
      <c r="J23" s="134"/>
      <c r="K23" s="137"/>
      <c r="L23" s="11"/>
      <c r="M23"/>
      <c r="N23"/>
      <c r="O23"/>
    </row>
    <row r="24" spans="1:15" s="1" customFormat="1" ht="15.6" customHeight="1">
      <c r="A24" s="163"/>
      <c r="B24" s="165"/>
      <c r="C24" s="166"/>
      <c r="D24" s="166"/>
      <c r="E24" s="142"/>
      <c r="F24" s="143"/>
      <c r="G24" s="159"/>
      <c r="H24" s="132" t="s">
        <v>62</v>
      </c>
      <c r="I24" s="8">
        <f>'[1]E-ELEC'!$D$14</f>
        <v>0.38968000000000003</v>
      </c>
      <c r="J24" s="134"/>
      <c r="K24" s="137"/>
      <c r="M24"/>
      <c r="N24"/>
      <c r="O24"/>
    </row>
    <row r="25" spans="1:15" s="1" customFormat="1" ht="15.6" customHeight="1">
      <c r="A25" s="164"/>
      <c r="B25" s="164"/>
      <c r="C25" s="150"/>
      <c r="D25" s="150"/>
      <c r="E25" s="144"/>
      <c r="F25" s="145"/>
      <c r="G25" s="161"/>
      <c r="H25" s="9" t="s">
        <v>32</v>
      </c>
      <c r="I25" s="10">
        <f>'[1]E-ELEC'!$F$14</f>
        <v>0.37581999999999999</v>
      </c>
      <c r="J25" s="135"/>
      <c r="K25" s="138"/>
      <c r="L25" s="11"/>
      <c r="M25"/>
      <c r="N25"/>
      <c r="O25"/>
    </row>
    <row r="26" spans="1:15" ht="6.6" customHeight="1">
      <c r="A26" s="2"/>
      <c r="B26" s="3"/>
      <c r="C26" s="11"/>
      <c r="D26" s="11"/>
      <c r="E26" s="16"/>
      <c r="F26" s="16"/>
      <c r="G26" s="17"/>
      <c r="H26" s="18"/>
      <c r="I26" s="19"/>
      <c r="J26" s="11"/>
      <c r="K26" s="11"/>
    </row>
    <row r="27" spans="1:15" ht="12.75" customHeight="1">
      <c r="A27" s="31" t="s">
        <v>66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</row>
    <row r="28" spans="1:15" ht="12.75" customHeight="1">
      <c r="A28" s="31" t="s">
        <v>67</v>
      </c>
      <c r="B28" s="3"/>
      <c r="C28" s="3"/>
      <c r="D28" s="3"/>
      <c r="E28" s="3"/>
      <c r="F28" s="3"/>
      <c r="G28" s="3"/>
      <c r="H28" s="3"/>
      <c r="I28" s="3"/>
      <c r="J28" s="3"/>
      <c r="K28" s="12"/>
      <c r="L28" s="13"/>
    </row>
    <row r="29" spans="1:15" ht="12.75" customHeight="1">
      <c r="A29" s="31" t="s">
        <v>68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</row>
    <row r="30" spans="1:15" ht="12.75" customHeight="1">
      <c r="A30" s="31" t="s">
        <v>69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</row>
    <row r="31" spans="1:15" ht="12.75" customHeight="1">
      <c r="A31" s="31" t="s">
        <v>70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spans="1:15" ht="12.75" customHeight="1">
      <c r="A32" s="31" t="s">
        <v>71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spans="1:12" ht="12.75" customHeight="1">
      <c r="A33" s="31" t="s">
        <v>72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spans="1:12" ht="12.75" customHeight="1">
      <c r="A34" s="31" t="s">
        <v>73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spans="1:12" ht="12.75" customHeight="1">
      <c r="A35" s="78" t="s">
        <v>74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  <row r="36" spans="1:12" ht="12.75" customHeight="1">
      <c r="A36" s="78" t="s">
        <v>75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</row>
    <row r="37" spans="1:12" ht="12.75" customHeight="1">
      <c r="A37" s="78" t="s">
        <v>76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</row>
    <row r="38" spans="1:12" ht="12.75" customHeight="1">
      <c r="A38" s="78" t="s">
        <v>77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</row>
    <row r="39" spans="1:12" ht="12.75" customHeight="1">
      <c r="A39" s="78" t="s">
        <v>78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</row>
    <row r="40" spans="1:12" ht="8.4499999999999993" customHeight="1">
      <c r="A40" s="31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</row>
    <row r="41" spans="1:12">
      <c r="A41" s="32" t="s">
        <v>50</v>
      </c>
    </row>
    <row r="42" spans="1:12">
      <c r="A42" s="119" t="s">
        <v>51</v>
      </c>
    </row>
    <row r="43" spans="1:12">
      <c r="A43" s="32"/>
    </row>
    <row r="44" spans="1:12">
      <c r="A44" s="117" t="s">
        <v>53</v>
      </c>
    </row>
    <row r="45" spans="1:12">
      <c r="A45" s="118" t="s">
        <v>79</v>
      </c>
    </row>
    <row r="47" spans="1:12">
      <c r="A47" s="122"/>
    </row>
  </sheetData>
  <mergeCells count="37">
    <mergeCell ref="E1:F1"/>
    <mergeCell ref="A2:A7"/>
    <mergeCell ref="B2:B7"/>
    <mergeCell ref="C2:C6"/>
    <mergeCell ref="E2:F7"/>
    <mergeCell ref="D2:D7"/>
    <mergeCell ref="J2:J7"/>
    <mergeCell ref="K2:K7"/>
    <mergeCell ref="G5:G7"/>
    <mergeCell ref="A8:A13"/>
    <mergeCell ref="B8:B13"/>
    <mergeCell ref="C8:C13"/>
    <mergeCell ref="E8:F13"/>
    <mergeCell ref="G8:G10"/>
    <mergeCell ref="J8:J13"/>
    <mergeCell ref="G2:G4"/>
    <mergeCell ref="A20:A25"/>
    <mergeCell ref="B20:B25"/>
    <mergeCell ref="C20:C25"/>
    <mergeCell ref="G17:G19"/>
    <mergeCell ref="K8:K13"/>
    <mergeCell ref="G11:G13"/>
    <mergeCell ref="A14:A19"/>
    <mergeCell ref="B14:B19"/>
    <mergeCell ref="C14:C19"/>
    <mergeCell ref="E14:F19"/>
    <mergeCell ref="G14:G16"/>
    <mergeCell ref="J14:J19"/>
    <mergeCell ref="K14:K19"/>
    <mergeCell ref="D8:D13"/>
    <mergeCell ref="D14:D19"/>
    <mergeCell ref="D20:D25"/>
    <mergeCell ref="K20:K25"/>
    <mergeCell ref="E20:F25"/>
    <mergeCell ref="G20:G22"/>
    <mergeCell ref="J20:J25"/>
    <mergeCell ref="G23:G25"/>
  </mergeCells>
  <printOptions horizontalCentered="1" verticalCentered="1"/>
  <pageMargins left="0" right="0" top="0.76" bottom="0.46" header="0.25" footer="0.2"/>
  <pageSetup scale="82" orientation="landscape" r:id="rId1"/>
  <headerFooter alignWithMargins="0">
    <oddHeader xml:space="preserve">&amp;C&amp;"Arial,Bold"&amp;14Pacific Gas and Electric Company&amp;12 &amp;10
&amp;12Residential Time-of-Use Electric Vehicle and Electric Technology Rates&amp;14 
&amp;"Arial,Regular"&amp;8(Rate Schedules EV, EV2 and New E-ELEC)&amp;RRates Effective:
April 1, 2024 to May 31, 2024
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3B189-E5CA-4787-9951-C2C2F9DF3A99}">
  <sheetPr>
    <tabColor theme="4" tint="0.59999389629810485"/>
  </sheetPr>
  <dimension ref="A1:J43"/>
  <sheetViews>
    <sheetView showGridLines="0" zoomScaleNormal="100" workbookViewId="0">
      <selection activeCell="G22" sqref="G22"/>
    </sheetView>
  </sheetViews>
  <sheetFormatPr defaultColWidth="11.5703125" defaultRowHeight="12.75"/>
  <cols>
    <col min="1" max="1" width="13" style="33" customWidth="1"/>
    <col min="2" max="2" width="33.140625" style="33" customWidth="1"/>
    <col min="3" max="3" width="6.5703125" style="33" customWidth="1"/>
    <col min="4" max="4" width="20.42578125" style="33" customWidth="1"/>
    <col min="5" max="5" width="8.140625" style="33" customWidth="1"/>
    <col min="6" max="6" width="13" style="33" customWidth="1"/>
    <col min="7" max="7" width="33.140625" style="33" customWidth="1"/>
    <col min="8" max="8" width="6.5703125" style="33" customWidth="1"/>
    <col min="9" max="9" width="20.42578125" style="33" customWidth="1"/>
    <col min="10" max="16384" width="11.5703125" style="33"/>
  </cols>
  <sheetData>
    <row r="1" spans="1:10" ht="23.25">
      <c r="A1" s="173" t="s">
        <v>80</v>
      </c>
      <c r="B1" s="173"/>
      <c r="C1" s="173"/>
      <c r="D1" s="173"/>
      <c r="E1" s="173"/>
      <c r="F1" s="173"/>
      <c r="G1" s="173"/>
      <c r="H1" s="173"/>
      <c r="I1" s="173"/>
    </row>
    <row r="2" spans="1:10" ht="23.25">
      <c r="A2" s="173" t="s">
        <v>81</v>
      </c>
      <c r="B2" s="173"/>
      <c r="C2" s="173"/>
      <c r="D2" s="173"/>
      <c r="E2" s="173"/>
      <c r="F2" s="173"/>
      <c r="G2" s="173"/>
      <c r="H2" s="173"/>
      <c r="I2" s="173"/>
      <c r="J2" s="34"/>
    </row>
    <row r="3" spans="1:10" ht="23.25">
      <c r="A3" s="173" t="s">
        <v>82</v>
      </c>
      <c r="B3" s="173"/>
      <c r="C3" s="173"/>
      <c r="D3" s="173"/>
      <c r="E3" s="173"/>
      <c r="F3" s="173"/>
      <c r="G3" s="173"/>
      <c r="H3" s="173"/>
      <c r="I3" s="173"/>
    </row>
    <row r="4" spans="1:10" ht="18">
      <c r="A4" s="174" t="s">
        <v>83</v>
      </c>
      <c r="B4" s="174"/>
      <c r="C4" s="174"/>
      <c r="D4" s="174"/>
      <c r="E4" s="174"/>
      <c r="F4" s="174"/>
      <c r="G4" s="174"/>
      <c r="H4" s="174"/>
      <c r="I4" s="174"/>
    </row>
    <row r="5" spans="1:10" ht="15.75">
      <c r="A5" s="176"/>
      <c r="B5" s="176"/>
      <c r="C5" s="176"/>
      <c r="D5" s="176"/>
      <c r="E5" s="176"/>
      <c r="F5" s="176"/>
      <c r="G5" s="176"/>
      <c r="H5" s="176"/>
      <c r="I5" s="176"/>
    </row>
    <row r="6" spans="1:10" ht="8.25" customHeight="1">
      <c r="A6" s="35"/>
      <c r="B6" s="35"/>
      <c r="C6" s="35"/>
      <c r="D6" s="35"/>
      <c r="E6" s="35"/>
      <c r="F6" s="35"/>
      <c r="G6" s="35"/>
      <c r="H6" s="35"/>
      <c r="I6" s="35"/>
    </row>
    <row r="7" spans="1:10" ht="21">
      <c r="A7" s="175" t="s">
        <v>84</v>
      </c>
      <c r="B7" s="175"/>
      <c r="C7" s="175"/>
      <c r="D7" s="175"/>
      <c r="E7" s="35"/>
      <c r="F7" s="175" t="s">
        <v>85</v>
      </c>
      <c r="G7" s="175"/>
      <c r="H7" s="175"/>
      <c r="I7" s="175"/>
    </row>
    <row r="8" spans="1:10">
      <c r="A8" s="36" t="s">
        <v>86</v>
      </c>
      <c r="B8" s="36"/>
      <c r="C8" s="36"/>
      <c r="D8" s="36"/>
      <c r="E8" s="37"/>
      <c r="F8" s="172" t="s">
        <v>87</v>
      </c>
      <c r="G8" s="172"/>
      <c r="H8" s="172"/>
      <c r="I8" s="172"/>
    </row>
    <row r="9" spans="1:10">
      <c r="A9" s="38" t="s">
        <v>88</v>
      </c>
      <c r="B9" s="39" t="s">
        <v>89</v>
      </c>
      <c r="C9" s="40"/>
      <c r="D9" s="41" t="s">
        <v>90</v>
      </c>
      <c r="E9" s="35"/>
      <c r="F9" s="39" t="s">
        <v>88</v>
      </c>
      <c r="G9" s="39" t="s">
        <v>89</v>
      </c>
      <c r="H9" s="40"/>
      <c r="I9" s="41" t="s">
        <v>90</v>
      </c>
      <c r="J9" s="114"/>
    </row>
    <row r="10" spans="1:10">
      <c r="A10" s="42"/>
      <c r="B10" s="43" t="s">
        <v>91</v>
      </c>
      <c r="C10" s="44"/>
      <c r="D10" s="45" t="s">
        <v>92</v>
      </c>
      <c r="E10" s="35"/>
      <c r="F10" s="46"/>
      <c r="G10" s="43" t="s">
        <v>91</v>
      </c>
      <c r="H10" s="44"/>
      <c r="I10" s="45" t="s">
        <v>92</v>
      </c>
      <c r="J10" s="114"/>
    </row>
    <row r="11" spans="1:10">
      <c r="A11" s="42"/>
      <c r="B11" s="43"/>
      <c r="C11" s="44"/>
      <c r="D11" s="45"/>
      <c r="E11" s="35"/>
      <c r="F11" s="46"/>
      <c r="G11" s="43"/>
      <c r="H11" s="44"/>
      <c r="I11" s="45"/>
    </row>
    <row r="12" spans="1:10">
      <c r="A12" s="59" t="s">
        <v>93</v>
      </c>
      <c r="B12" s="47"/>
      <c r="C12" s="46"/>
      <c r="D12" s="48"/>
      <c r="E12" s="35"/>
      <c r="F12" s="59" t="s">
        <v>93</v>
      </c>
      <c r="G12" s="49"/>
      <c r="H12" s="50"/>
      <c r="I12" s="49"/>
    </row>
    <row r="13" spans="1:10" ht="14.25">
      <c r="A13" s="51" t="s">
        <v>94</v>
      </c>
      <c r="B13" s="51" t="s">
        <v>95</v>
      </c>
      <c r="C13" s="72"/>
      <c r="D13" s="51" t="s">
        <v>95</v>
      </c>
      <c r="E13" s="35"/>
      <c r="F13" s="51" t="s">
        <v>94</v>
      </c>
      <c r="G13" s="51" t="s">
        <v>95</v>
      </c>
      <c r="H13" s="72"/>
      <c r="I13" s="51" t="s">
        <v>95</v>
      </c>
    </row>
    <row r="14" spans="1:10">
      <c r="A14" s="46" t="s">
        <v>96</v>
      </c>
      <c r="B14" s="68">
        <f>[1]BQs!$I85</f>
        <v>26</v>
      </c>
      <c r="C14" s="69"/>
      <c r="D14" s="68">
        <f>[1]BQs!$I124</f>
        <v>15.3</v>
      </c>
      <c r="E14" s="35"/>
      <c r="F14" s="46" t="s">
        <v>96</v>
      </c>
      <c r="G14" s="70">
        <f>[1]BQs!$G85</f>
        <v>15.2</v>
      </c>
      <c r="H14" s="48"/>
      <c r="I14" s="48">
        <f>[1]BQs!$G124</f>
        <v>8.4</v>
      </c>
    </row>
    <row r="15" spans="1:10">
      <c r="A15" s="46" t="s">
        <v>97</v>
      </c>
      <c r="B15" s="68">
        <f>[1]BQs!$I86</f>
        <v>26</v>
      </c>
      <c r="C15" s="69"/>
      <c r="D15" s="68">
        <f>[1]BQs!$I125</f>
        <v>15.3</v>
      </c>
      <c r="E15" s="35"/>
      <c r="F15" s="46" t="s">
        <v>97</v>
      </c>
      <c r="G15" s="70">
        <f>[1]BQs!$G86</f>
        <v>8.5</v>
      </c>
      <c r="H15" s="48"/>
      <c r="I15" s="48">
        <f>[1]BQs!$G125</f>
        <v>6.9</v>
      </c>
    </row>
    <row r="16" spans="1:10">
      <c r="A16" s="46" t="s">
        <v>98</v>
      </c>
      <c r="B16" s="68">
        <f>[1]BQs!$I87</f>
        <v>26.7</v>
      </c>
      <c r="C16" s="69"/>
      <c r="D16" s="68">
        <f>[1]BQs!$I126</f>
        <v>12.9</v>
      </c>
      <c r="E16" s="35"/>
      <c r="F16" s="46" t="s">
        <v>98</v>
      </c>
      <c r="G16" s="70">
        <f>[1]BQs!$G87</f>
        <v>19.899999999999999</v>
      </c>
      <c r="H16" s="48"/>
      <c r="I16" s="48">
        <f>[1]BQs!$G126</f>
        <v>9.1</v>
      </c>
    </row>
    <row r="17" spans="1:9">
      <c r="A17" s="46" t="s">
        <v>99</v>
      </c>
      <c r="B17" s="68">
        <f>[1]BQs!$I88</f>
        <v>23.7</v>
      </c>
      <c r="C17" s="69"/>
      <c r="D17" s="68">
        <f>[1]BQs!$I127</f>
        <v>12.4</v>
      </c>
      <c r="E17" s="35"/>
      <c r="F17" s="46" t="s">
        <v>99</v>
      </c>
      <c r="G17" s="70">
        <f>[1]BQs!$G88</f>
        <v>17.8</v>
      </c>
      <c r="H17" s="48"/>
      <c r="I17" s="48">
        <f>[1]BQs!$G127</f>
        <v>9.3000000000000007</v>
      </c>
    </row>
    <row r="18" spans="1:9">
      <c r="A18" s="46" t="s">
        <v>100</v>
      </c>
      <c r="B18" s="68">
        <f>[1]BQs!$I89</f>
        <v>12.9</v>
      </c>
      <c r="C18" s="69"/>
      <c r="D18" s="70">
        <f>[1]BQs!$I128</f>
        <v>8.6</v>
      </c>
      <c r="E18" s="35"/>
      <c r="F18" s="46" t="s">
        <v>100</v>
      </c>
      <c r="G18" s="70">
        <f>[1]BQs!$G89</f>
        <v>7.1</v>
      </c>
      <c r="H18" s="48"/>
      <c r="I18" s="48">
        <f>[1]BQs!$G128</f>
        <v>4.8</v>
      </c>
    </row>
    <row r="19" spans="1:9">
      <c r="A19" s="46" t="s">
        <v>101</v>
      </c>
      <c r="B19" s="68">
        <f>[1]BQs!$I90</f>
        <v>19.100000000000001</v>
      </c>
      <c r="C19" s="69"/>
      <c r="D19" s="70">
        <f>[1]BQs!$I129</f>
        <v>10.6</v>
      </c>
      <c r="E19" s="35"/>
      <c r="F19" s="46" t="s">
        <v>101</v>
      </c>
      <c r="G19" s="70">
        <f>[1]BQs!$G90</f>
        <v>10.4</v>
      </c>
      <c r="H19" s="48"/>
      <c r="I19" s="70">
        <f>[1]BQs!$G129</f>
        <v>6</v>
      </c>
    </row>
    <row r="20" spans="1:9">
      <c r="A20" s="46" t="s">
        <v>102</v>
      </c>
      <c r="B20" s="68">
        <f>[1]BQs!$I91</f>
        <v>19</v>
      </c>
      <c r="C20" s="69"/>
      <c r="D20" s="70">
        <f>[1]BQs!$I130</f>
        <v>11.2</v>
      </c>
      <c r="E20" s="35"/>
      <c r="F20" s="46" t="s">
        <v>102</v>
      </c>
      <c r="G20" s="70">
        <f>[1]BQs!$G91</f>
        <v>22.4</v>
      </c>
      <c r="H20" s="48"/>
      <c r="I20" s="48">
        <f>[1]BQs!$G130</f>
        <v>11.1</v>
      </c>
    </row>
    <row r="21" spans="1:9">
      <c r="A21" s="46" t="s">
        <v>103</v>
      </c>
      <c r="B21" s="68">
        <f>[1]BQs!$I92</f>
        <v>14.6</v>
      </c>
      <c r="C21" s="69"/>
      <c r="D21" s="70">
        <f>[1]BQs!$I131</f>
        <v>12.3</v>
      </c>
      <c r="E21" s="35"/>
      <c r="F21" s="46" t="s">
        <v>103</v>
      </c>
      <c r="G21" s="70">
        <f>[1]BQs!$G92</f>
        <v>8.5</v>
      </c>
      <c r="H21" s="48"/>
      <c r="I21" s="48">
        <f>[1]BQs!$G131</f>
        <v>6.9</v>
      </c>
    </row>
    <row r="22" spans="1:9">
      <c r="A22" s="46" t="s">
        <v>104</v>
      </c>
      <c r="B22" s="68">
        <f>[1]BQs!$I93</f>
        <v>24</v>
      </c>
      <c r="C22" s="69"/>
      <c r="D22" s="70">
        <f>[1]BQs!$I132</f>
        <v>13.7</v>
      </c>
      <c r="E22" s="35"/>
      <c r="F22" s="46" t="s">
        <v>104</v>
      </c>
      <c r="G22" s="70">
        <f>[1]BQs!$G93</f>
        <v>12</v>
      </c>
      <c r="H22" s="48"/>
      <c r="I22" s="48">
        <f>[1]BQs!$G132</f>
        <v>6.7</v>
      </c>
    </row>
    <row r="23" spans="1:9">
      <c r="A23" s="52" t="s">
        <v>105</v>
      </c>
      <c r="B23" s="71">
        <f>[1]BQs!$I94</f>
        <v>15.7</v>
      </c>
      <c r="C23" s="72"/>
      <c r="D23" s="73">
        <f>[1]BQs!$I133</f>
        <v>9</v>
      </c>
      <c r="E23" s="35"/>
      <c r="F23" s="52" t="s">
        <v>105</v>
      </c>
      <c r="G23" s="73">
        <f>[1]BQs!$G94</f>
        <v>6.7</v>
      </c>
      <c r="H23" s="51"/>
      <c r="I23" s="51">
        <f>[1]BQs!$G133</f>
        <v>4.2</v>
      </c>
    </row>
    <row r="24" spans="1:9" ht="7.5" customHeight="1">
      <c r="A24" s="46"/>
      <c r="B24" s="68"/>
      <c r="C24" s="69"/>
      <c r="D24" s="68"/>
      <c r="E24" s="35"/>
      <c r="F24" s="46"/>
      <c r="G24" s="70"/>
      <c r="H24" s="48"/>
      <c r="I24" s="70"/>
    </row>
    <row r="25" spans="1:9">
      <c r="A25" s="59" t="s">
        <v>106</v>
      </c>
      <c r="B25" s="69"/>
      <c r="C25" s="69"/>
      <c r="D25" s="69"/>
      <c r="E25" s="35"/>
      <c r="F25" s="46" t="s">
        <v>106</v>
      </c>
      <c r="G25" s="97"/>
      <c r="H25" s="98"/>
      <c r="I25" s="98"/>
    </row>
    <row r="26" spans="1:9" ht="14.25">
      <c r="A26" s="51" t="s">
        <v>107</v>
      </c>
      <c r="B26" s="51" t="s">
        <v>95</v>
      </c>
      <c r="C26" s="72"/>
      <c r="D26" s="51" t="s">
        <v>95</v>
      </c>
      <c r="E26" s="35"/>
      <c r="F26" s="51" t="s">
        <v>107</v>
      </c>
      <c r="G26" s="51" t="s">
        <v>95</v>
      </c>
      <c r="H26" s="72"/>
      <c r="I26" s="51" t="s">
        <v>95</v>
      </c>
    </row>
    <row r="27" spans="1:9">
      <c r="A27" s="46" t="s">
        <v>96</v>
      </c>
      <c r="B27" s="70">
        <f>[1]BQs!$E85</f>
        <v>11</v>
      </c>
      <c r="C27" s="48"/>
      <c r="D27" s="70">
        <f>[1]BQs!$E124</f>
        <v>4.8</v>
      </c>
      <c r="E27" s="35"/>
      <c r="F27" s="46" t="s">
        <v>96</v>
      </c>
      <c r="G27" s="70">
        <f>[1]BQs!$C85</f>
        <v>13.5</v>
      </c>
      <c r="H27" s="48"/>
      <c r="I27" s="74">
        <f>[1]BQs!$C124</f>
        <v>4.5999999999999996</v>
      </c>
    </row>
    <row r="28" spans="1:9">
      <c r="A28" s="46" t="s">
        <v>97</v>
      </c>
      <c r="B28" s="70">
        <f>[1]BQs!$E86</f>
        <v>11</v>
      </c>
      <c r="C28" s="48"/>
      <c r="D28" s="70">
        <f>[1]BQs!$E125</f>
        <v>4.8</v>
      </c>
      <c r="E28" s="35"/>
      <c r="F28" s="46" t="s">
        <v>97</v>
      </c>
      <c r="G28" s="70">
        <f>[1]BQs!$C86</f>
        <v>9.8000000000000007</v>
      </c>
      <c r="H28" s="48"/>
      <c r="I28" s="74">
        <f>[1]BQs!$C125</f>
        <v>5.0999999999999996</v>
      </c>
    </row>
    <row r="29" spans="1:9">
      <c r="A29" s="46" t="s">
        <v>98</v>
      </c>
      <c r="B29" s="70">
        <f>[1]BQs!$E87</f>
        <v>10.4</v>
      </c>
      <c r="C29" s="48"/>
      <c r="D29" s="70">
        <f>[1]BQs!$E126</f>
        <v>4.9000000000000004</v>
      </c>
      <c r="E29" s="35"/>
      <c r="F29" s="46" t="s">
        <v>98</v>
      </c>
      <c r="G29" s="70">
        <f>[1]BQs!$C87</f>
        <v>17.7</v>
      </c>
      <c r="H29" s="48"/>
      <c r="I29" s="74">
        <f>[1]BQs!$C126</f>
        <v>7.5</v>
      </c>
    </row>
    <row r="30" spans="1:9">
      <c r="A30" s="46" t="s">
        <v>99</v>
      </c>
      <c r="B30" s="70">
        <f>[1]BQs!$E88</f>
        <v>10.199999999999999</v>
      </c>
      <c r="C30" s="48"/>
      <c r="D30" s="70">
        <f>[1]BQs!$E127</f>
        <v>5</v>
      </c>
      <c r="E30" s="35"/>
      <c r="F30" s="46" t="s">
        <v>99</v>
      </c>
      <c r="G30" s="70">
        <f>[1]BQs!$C88</f>
        <v>15</v>
      </c>
      <c r="H30" s="48"/>
      <c r="I30" s="74">
        <f>[1]BQs!$C127</f>
        <v>6.4</v>
      </c>
    </row>
    <row r="31" spans="1:9">
      <c r="A31" s="46" t="s">
        <v>100</v>
      </c>
      <c r="B31" s="70">
        <f>[1]BQs!$E89</f>
        <v>7.5</v>
      </c>
      <c r="C31" s="48"/>
      <c r="D31" s="70">
        <f>[1]BQs!$E128</f>
        <v>4.0999999999999996</v>
      </c>
      <c r="E31" s="35"/>
      <c r="F31" s="46" t="s">
        <v>100</v>
      </c>
      <c r="G31" s="70">
        <f>[1]BQs!$C89</f>
        <v>6.5</v>
      </c>
      <c r="H31" s="48"/>
      <c r="I31" s="74">
        <f>[1]BQs!$C128</f>
        <v>3.6</v>
      </c>
    </row>
    <row r="32" spans="1:9">
      <c r="A32" s="46" t="s">
        <v>101</v>
      </c>
      <c r="B32" s="70">
        <f>[1]BQs!$E90</f>
        <v>8.1</v>
      </c>
      <c r="C32" s="48"/>
      <c r="D32" s="70">
        <f>[1]BQs!$E129</f>
        <v>4.5999999999999996</v>
      </c>
      <c r="E32" s="35"/>
      <c r="F32" s="46" t="s">
        <v>101</v>
      </c>
      <c r="G32" s="70">
        <f>[1]BQs!$C90</f>
        <v>7.1</v>
      </c>
      <c r="H32" s="48"/>
      <c r="I32" s="74">
        <f>[1]BQs!$C129</f>
        <v>4</v>
      </c>
    </row>
    <row r="33" spans="1:9">
      <c r="A33" s="46" t="s">
        <v>102</v>
      </c>
      <c r="B33" s="70">
        <f>[1]BQs!$E91</f>
        <v>9.8000000000000007</v>
      </c>
      <c r="C33" s="48"/>
      <c r="D33" s="70">
        <f>[1]BQs!$E130</f>
        <v>5</v>
      </c>
      <c r="E33" s="35"/>
      <c r="F33" s="46" t="s">
        <v>102</v>
      </c>
      <c r="G33" s="70">
        <f>[1]BQs!$C91</f>
        <v>19.2</v>
      </c>
      <c r="H33" s="48"/>
      <c r="I33" s="74">
        <f>[1]BQs!$C130</f>
        <v>7.8</v>
      </c>
    </row>
    <row r="34" spans="1:9">
      <c r="A34" s="46" t="s">
        <v>103</v>
      </c>
      <c r="B34" s="70">
        <f>[1]BQs!$E92</f>
        <v>9.6999999999999993</v>
      </c>
      <c r="C34" s="48"/>
      <c r="D34" s="70">
        <f>[1]BQs!$E131</f>
        <v>5.4</v>
      </c>
      <c r="E34" s="35"/>
      <c r="F34" s="46" t="s">
        <v>103</v>
      </c>
      <c r="G34" s="70">
        <f>[1]BQs!$C92</f>
        <v>9.8000000000000007</v>
      </c>
      <c r="H34" s="48"/>
      <c r="I34" s="74">
        <f>[1]BQs!$C131</f>
        <v>5.0999999999999996</v>
      </c>
    </row>
    <row r="35" spans="1:9">
      <c r="A35" s="46" t="s">
        <v>104</v>
      </c>
      <c r="B35" s="70">
        <f>[1]BQs!$E93</f>
        <v>11.1</v>
      </c>
      <c r="C35" s="48"/>
      <c r="D35" s="70">
        <f>[1]BQs!$E132</f>
        <v>7.6</v>
      </c>
      <c r="E35" s="35"/>
      <c r="F35" s="46" t="s">
        <v>104</v>
      </c>
      <c r="G35" s="70">
        <f>[1]BQs!$C93</f>
        <v>10.5</v>
      </c>
      <c r="H35" s="48"/>
      <c r="I35" s="74">
        <f>[1]BQs!$C132</f>
        <v>7.6</v>
      </c>
    </row>
    <row r="36" spans="1:9">
      <c r="A36" s="52" t="s">
        <v>105</v>
      </c>
      <c r="B36" s="73">
        <f>[1]BQs!$E94</f>
        <v>7.8</v>
      </c>
      <c r="C36" s="51"/>
      <c r="D36" s="73">
        <f>[1]BQs!$E133</f>
        <v>5.2</v>
      </c>
      <c r="E36" s="35"/>
      <c r="F36" s="52" t="s">
        <v>105</v>
      </c>
      <c r="G36" s="73">
        <f>[1]BQs!$C94</f>
        <v>5.9</v>
      </c>
      <c r="H36" s="51"/>
      <c r="I36" s="75">
        <f>[1]BQs!$C133</f>
        <v>4.3</v>
      </c>
    </row>
    <row r="37" spans="1:9" ht="8.25" customHeight="1">
      <c r="A37" s="53"/>
      <c r="B37" s="54"/>
      <c r="C37" s="55"/>
      <c r="D37" s="54"/>
      <c r="E37" s="35"/>
      <c r="F37" s="53"/>
      <c r="G37" s="54"/>
      <c r="H37" s="55"/>
      <c r="I37" s="56"/>
    </row>
    <row r="38" spans="1:9" ht="13.5">
      <c r="A38" s="57" t="s">
        <v>108</v>
      </c>
      <c r="B38" s="54"/>
      <c r="C38" s="55"/>
      <c r="D38" s="54"/>
      <c r="E38" s="35"/>
      <c r="F38" s="53"/>
      <c r="G38" s="54"/>
      <c r="H38" s="55"/>
      <c r="I38" s="56"/>
    </row>
    <row r="39" spans="1:9" ht="13.5">
      <c r="A39" s="99" t="s">
        <v>109</v>
      </c>
      <c r="B39" s="35"/>
      <c r="C39" s="35"/>
      <c r="D39" s="35"/>
      <c r="E39" s="35"/>
      <c r="F39" s="35"/>
      <c r="G39" s="35"/>
      <c r="H39" s="35"/>
      <c r="I39" s="35"/>
    </row>
    <row r="40" spans="1:9" ht="13.5">
      <c r="A40" s="99" t="s">
        <v>110</v>
      </c>
      <c r="B40" s="35"/>
      <c r="C40" s="35"/>
      <c r="D40" s="35"/>
      <c r="E40" s="35"/>
      <c r="F40" s="35"/>
      <c r="G40" s="35"/>
      <c r="H40" s="35"/>
      <c r="I40" s="35"/>
    </row>
    <row r="41" spans="1:9" ht="13.5">
      <c r="A41" s="116" t="s">
        <v>111</v>
      </c>
      <c r="B41" s="35"/>
      <c r="C41" s="35"/>
      <c r="D41" s="35"/>
      <c r="E41" s="35"/>
      <c r="F41" s="35"/>
      <c r="G41" s="35"/>
      <c r="H41" s="35"/>
      <c r="I41" s="35"/>
    </row>
    <row r="42" spans="1:9">
      <c r="B42" s="35"/>
      <c r="C42" s="35"/>
      <c r="D42" s="35"/>
      <c r="E42" s="35"/>
      <c r="F42" s="35"/>
      <c r="G42" s="35"/>
      <c r="H42" s="35"/>
      <c r="I42" s="35"/>
    </row>
    <row r="43" spans="1:9">
      <c r="A43" s="58" t="s">
        <v>53</v>
      </c>
    </row>
  </sheetData>
  <mergeCells count="8">
    <mergeCell ref="F8:I8"/>
    <mergeCell ref="A1:I1"/>
    <mergeCell ref="A2:I2"/>
    <mergeCell ref="A3:I3"/>
    <mergeCell ref="A4:I4"/>
    <mergeCell ref="F7:I7"/>
    <mergeCell ref="A7:D7"/>
    <mergeCell ref="A5:I5"/>
  </mergeCells>
  <printOptions horizontalCentered="1"/>
  <pageMargins left="0" right="0" top="0.5" bottom="0.25" header="0.5" footer="0.5"/>
  <pageSetup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52"/>
  </sheetPr>
  <dimension ref="A1:F52"/>
  <sheetViews>
    <sheetView showGridLines="0" workbookViewId="0">
      <selection sqref="A1:E1"/>
    </sheetView>
  </sheetViews>
  <sheetFormatPr defaultRowHeight="12.75"/>
  <cols>
    <col min="1" max="1" width="3.5703125" style="26" customWidth="1"/>
    <col min="2" max="2" width="4.140625" customWidth="1"/>
    <col min="3" max="3" width="16.7109375" customWidth="1"/>
    <col min="4" max="4" width="28.7109375" customWidth="1"/>
    <col min="5" max="5" width="33.7109375" style="20" customWidth="1"/>
    <col min="6" max="6" width="9.5703125" style="20" customWidth="1"/>
    <col min="7" max="7" width="29.140625" customWidth="1"/>
  </cols>
  <sheetData>
    <row r="1" spans="1:5">
      <c r="A1" s="192" t="s">
        <v>112</v>
      </c>
      <c r="B1" s="194"/>
      <c r="C1" s="194"/>
      <c r="D1" s="194"/>
      <c r="E1" s="195"/>
    </row>
    <row r="2" spans="1:5" ht="9" customHeight="1">
      <c r="A2" s="196"/>
      <c r="E2" s="21"/>
    </row>
    <row r="3" spans="1:5" ht="14.25" customHeight="1">
      <c r="A3" s="196"/>
      <c r="B3" s="22" t="s">
        <v>113</v>
      </c>
      <c r="E3" s="21"/>
    </row>
    <row r="4" spans="1:5" ht="14.25" customHeight="1">
      <c r="A4" s="196"/>
      <c r="C4" t="s">
        <v>114</v>
      </c>
      <c r="D4" s="112" t="s">
        <v>115</v>
      </c>
      <c r="E4" s="23" t="s">
        <v>116</v>
      </c>
    </row>
    <row r="5" spans="1:5" ht="14.25" customHeight="1">
      <c r="A5" s="196"/>
      <c r="E5" s="21"/>
    </row>
    <row r="6" spans="1:5" ht="14.25" customHeight="1">
      <c r="A6" s="196"/>
      <c r="C6" t="s">
        <v>117</v>
      </c>
      <c r="D6" s="112" t="s">
        <v>118</v>
      </c>
      <c r="E6" s="23" t="s">
        <v>116</v>
      </c>
    </row>
    <row r="7" spans="1:5" ht="14.25" customHeight="1">
      <c r="A7" s="196"/>
      <c r="D7" s="112" t="s">
        <v>119</v>
      </c>
      <c r="E7" s="23" t="s">
        <v>116</v>
      </c>
    </row>
    <row r="8" spans="1:5" ht="14.25" customHeight="1">
      <c r="A8" s="196"/>
      <c r="D8" t="s">
        <v>120</v>
      </c>
      <c r="E8" s="23" t="s">
        <v>121</v>
      </c>
    </row>
    <row r="9" spans="1:5" ht="14.25" customHeight="1">
      <c r="A9" s="196"/>
      <c r="E9" s="23"/>
    </row>
    <row r="10" spans="1:5" ht="14.25" customHeight="1">
      <c r="A10" s="196"/>
      <c r="C10" t="s">
        <v>122</v>
      </c>
      <c r="D10" t="s">
        <v>123</v>
      </c>
      <c r="E10" s="23"/>
    </row>
    <row r="11" spans="1:5" ht="14.25" customHeight="1">
      <c r="A11" s="196"/>
      <c r="E11" s="23"/>
    </row>
    <row r="12" spans="1:5" ht="14.25" customHeight="1">
      <c r="A12" s="196"/>
      <c r="B12" s="22" t="s">
        <v>124</v>
      </c>
      <c r="E12" s="21"/>
    </row>
    <row r="13" spans="1:5" ht="14.25" customHeight="1">
      <c r="A13" s="196"/>
      <c r="C13" t="s">
        <v>125</v>
      </c>
      <c r="D13" t="s">
        <v>126</v>
      </c>
      <c r="E13" s="23" t="s">
        <v>116</v>
      </c>
    </row>
    <row r="14" spans="1:5" ht="14.25" customHeight="1">
      <c r="A14" s="196"/>
      <c r="E14" s="21"/>
    </row>
    <row r="15" spans="1:5" ht="14.25" customHeight="1">
      <c r="A15" s="196"/>
      <c r="C15" t="s">
        <v>122</v>
      </c>
      <c r="D15" t="s">
        <v>123</v>
      </c>
      <c r="E15" s="23"/>
    </row>
    <row r="16" spans="1:5" ht="9" customHeight="1">
      <c r="A16" s="197"/>
      <c r="B16" s="24"/>
      <c r="C16" s="24"/>
      <c r="D16" s="24"/>
      <c r="E16" s="25"/>
    </row>
    <row r="17" spans="1:5" ht="14.25" customHeight="1">
      <c r="A17" s="20"/>
    </row>
    <row r="18" spans="1:5" ht="14.25" customHeight="1">
      <c r="A18" s="20"/>
      <c r="B18" s="20" t="s">
        <v>127</v>
      </c>
      <c r="E18"/>
    </row>
    <row r="19" spans="1:5" ht="14.25" customHeight="1">
      <c r="A19" s="20"/>
      <c r="B19" s="20"/>
      <c r="C19" s="60" t="s">
        <v>128</v>
      </c>
      <c r="E19"/>
    </row>
    <row r="20" spans="1:5" ht="14.25" customHeight="1">
      <c r="A20" s="20"/>
      <c r="B20" s="20"/>
      <c r="C20" t="s">
        <v>129</v>
      </c>
      <c r="E20"/>
    </row>
    <row r="21" spans="1:5" ht="14.25" customHeight="1">
      <c r="A21" s="20"/>
      <c r="B21" s="20"/>
      <c r="C21" t="s">
        <v>130</v>
      </c>
      <c r="E21"/>
    </row>
    <row r="22" spans="1:5" ht="14.25" customHeight="1">
      <c r="A22" s="20"/>
    </row>
    <row r="23" spans="1:5" ht="14.25" customHeight="1">
      <c r="A23" s="111" t="s">
        <v>131</v>
      </c>
    </row>
    <row r="24" spans="1:5" ht="14.25" customHeight="1">
      <c r="A24" s="115" t="s">
        <v>132</v>
      </c>
    </row>
    <row r="25" spans="1:5" ht="14.25" customHeight="1">
      <c r="A25" s="20"/>
    </row>
    <row r="26" spans="1:5" ht="14.25" customHeight="1">
      <c r="A26" s="20"/>
    </row>
    <row r="27" spans="1:5" ht="14.25" customHeight="1">
      <c r="A27" s="20"/>
    </row>
    <row r="28" spans="1:5" ht="14.25" customHeight="1">
      <c r="A28" s="20"/>
    </row>
    <row r="29" spans="1:5" ht="14.25" customHeight="1">
      <c r="A29" s="20"/>
    </row>
    <row r="30" spans="1:5" ht="14.25" customHeight="1">
      <c r="A30" s="20"/>
    </row>
    <row r="31" spans="1:5" ht="14.25" customHeight="1">
      <c r="A31" s="20"/>
    </row>
    <row r="32" spans="1:5" ht="14.25" customHeight="1">
      <c r="A32" s="20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</sheetData>
  <mergeCells count="1">
    <mergeCell ref="A1:E1"/>
  </mergeCells>
  <phoneticPr fontId="0" type="noConversion"/>
  <printOptions horizontalCentered="1"/>
  <pageMargins left="0" right="0" top="1.1000000000000001" bottom="0" header="0.22" footer="0.21"/>
  <pageSetup orientation="landscape" r:id="rId1"/>
  <headerFooter alignWithMargins="0">
    <oddHeader>&amp;C&amp;"Arial,Bold"&amp;12Pacific Gas and Electric Company &amp;10
Residential Time-of-Use Periods
Rate Schedule E-6 and EM-TOU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A38C6-2C72-482B-896D-BA93E9D3852C}">
  <sheetPr>
    <tabColor indexed="52"/>
    <pageSetUpPr fitToPage="1"/>
  </sheetPr>
  <dimension ref="A1:K52"/>
  <sheetViews>
    <sheetView showGridLines="0" workbookViewId="0">
      <selection activeCell="A13" sqref="A13"/>
    </sheetView>
  </sheetViews>
  <sheetFormatPr defaultColWidth="8.85546875" defaultRowHeight="12.75"/>
  <cols>
    <col min="1" max="1" width="4" style="66" customWidth="1"/>
    <col min="2" max="2" width="5.28515625" style="44" customWidth="1"/>
    <col min="3" max="3" width="19" style="44" customWidth="1"/>
    <col min="4" max="4" width="30.28515625" style="44" customWidth="1"/>
    <col min="5" max="5" width="15.7109375" style="66" customWidth="1"/>
    <col min="6" max="6" width="1.42578125" style="66" customWidth="1"/>
    <col min="7" max="7" width="2.7109375" style="66" customWidth="1"/>
    <col min="8" max="8" width="4.140625" style="44" customWidth="1"/>
    <col min="9" max="9" width="16.7109375" style="44" customWidth="1"/>
    <col min="10" max="10" width="27.85546875" style="44" customWidth="1"/>
    <col min="11" max="11" width="19" style="66" customWidth="1"/>
    <col min="12" max="16384" width="8.85546875" style="44"/>
  </cols>
  <sheetData>
    <row r="1" spans="1:11">
      <c r="A1" s="177" t="s">
        <v>133</v>
      </c>
      <c r="B1" s="178"/>
      <c r="C1" s="178"/>
      <c r="D1" s="178"/>
      <c r="E1" s="179"/>
      <c r="F1" s="44"/>
      <c r="G1" s="44"/>
      <c r="K1" s="44"/>
    </row>
    <row r="2" spans="1:11" ht="14.45" customHeight="1">
      <c r="A2" s="180" t="s">
        <v>134</v>
      </c>
      <c r="B2" s="181"/>
      <c r="C2" s="181"/>
      <c r="D2" s="181"/>
      <c r="E2" s="182"/>
      <c r="F2" s="44"/>
      <c r="G2" s="44"/>
      <c r="K2" s="44"/>
    </row>
    <row r="3" spans="1:11" ht="9" customHeight="1">
      <c r="A3" s="79"/>
      <c r="B3" s="80"/>
      <c r="C3" s="80"/>
      <c r="D3" s="80"/>
      <c r="E3" s="81"/>
      <c r="F3" s="44"/>
      <c r="G3" s="44"/>
      <c r="K3" s="44"/>
    </row>
    <row r="4" spans="1:11" ht="14.25" customHeight="1">
      <c r="A4" s="79"/>
      <c r="B4" s="82" t="s">
        <v>113</v>
      </c>
      <c r="C4" s="80"/>
      <c r="D4" s="80"/>
      <c r="E4" s="81"/>
      <c r="F4" s="44"/>
      <c r="G4" s="44"/>
      <c r="K4" s="44"/>
    </row>
    <row r="5" spans="1:11" ht="14.25" customHeight="1">
      <c r="A5" s="79"/>
      <c r="B5" s="80"/>
      <c r="C5" s="80" t="s">
        <v>114</v>
      </c>
      <c r="D5" s="80" t="s">
        <v>115</v>
      </c>
      <c r="E5" s="83" t="s">
        <v>135</v>
      </c>
      <c r="F5" s="44"/>
      <c r="G5" s="44"/>
      <c r="K5" s="44"/>
    </row>
    <row r="6" spans="1:11" ht="14.25" customHeight="1">
      <c r="A6" s="79"/>
      <c r="B6" s="80"/>
      <c r="C6" s="80" t="s">
        <v>122</v>
      </c>
      <c r="D6" s="80" t="s">
        <v>136</v>
      </c>
      <c r="E6" s="83"/>
      <c r="F6" s="44"/>
      <c r="G6" s="44"/>
      <c r="K6" s="44"/>
    </row>
    <row r="7" spans="1:11" ht="9" customHeight="1">
      <c r="A7" s="79"/>
      <c r="B7" s="80"/>
      <c r="C7" s="80"/>
      <c r="D7" s="80"/>
      <c r="E7" s="81"/>
      <c r="F7" s="44"/>
      <c r="G7" s="44"/>
      <c r="K7" s="44"/>
    </row>
    <row r="8" spans="1:11" ht="14.25" customHeight="1">
      <c r="A8" s="79"/>
      <c r="B8" s="82" t="s">
        <v>124</v>
      </c>
      <c r="C8" s="80"/>
      <c r="D8" s="80"/>
      <c r="E8" s="81"/>
      <c r="F8" s="44"/>
      <c r="G8" s="44"/>
      <c r="K8" s="44"/>
    </row>
    <row r="9" spans="1:11" ht="14.25" customHeight="1">
      <c r="A9" s="79"/>
      <c r="B9" s="80"/>
      <c r="C9" s="80" t="s">
        <v>114</v>
      </c>
      <c r="D9" s="80" t="s">
        <v>115</v>
      </c>
      <c r="E9" s="83" t="s">
        <v>135</v>
      </c>
      <c r="F9" s="44"/>
      <c r="G9" s="44"/>
      <c r="K9" s="44"/>
    </row>
    <row r="10" spans="1:11" ht="14.25" customHeight="1">
      <c r="A10" s="79"/>
      <c r="B10" s="80"/>
      <c r="C10" s="80" t="s">
        <v>122</v>
      </c>
      <c r="D10" s="80" t="s">
        <v>136</v>
      </c>
      <c r="E10" s="83"/>
      <c r="F10" s="44"/>
      <c r="G10" s="44"/>
      <c r="K10" s="44"/>
    </row>
    <row r="11" spans="1:11" ht="9" customHeight="1">
      <c r="A11" s="84"/>
      <c r="B11" s="85"/>
      <c r="C11" s="85"/>
      <c r="D11" s="85"/>
      <c r="E11" s="86"/>
      <c r="F11" s="44"/>
      <c r="G11" s="44"/>
      <c r="K11" s="44"/>
    </row>
    <row r="12" spans="1:11" ht="14.45" customHeight="1">
      <c r="A12" s="183" t="s">
        <v>137</v>
      </c>
      <c r="B12" s="184"/>
      <c r="C12" s="184"/>
      <c r="D12" s="184"/>
      <c r="E12" s="185"/>
      <c r="F12" s="44"/>
      <c r="G12" s="44"/>
      <c r="K12" s="44"/>
    </row>
    <row r="13" spans="1:11" ht="9" customHeight="1">
      <c r="A13" s="79"/>
      <c r="B13" s="80"/>
      <c r="C13" s="80"/>
      <c r="D13" s="80"/>
      <c r="E13" s="81"/>
      <c r="F13" s="44"/>
      <c r="G13" s="44"/>
      <c r="K13" s="44"/>
    </row>
    <row r="14" spans="1:11" ht="14.25" customHeight="1">
      <c r="A14" s="79"/>
      <c r="B14" s="82" t="s">
        <v>113</v>
      </c>
      <c r="C14" s="80"/>
      <c r="D14" s="80"/>
      <c r="E14" s="81"/>
      <c r="F14" s="44"/>
      <c r="G14" s="44"/>
      <c r="K14" s="44"/>
    </row>
    <row r="15" spans="1:11" ht="14.25" customHeight="1">
      <c r="A15" s="79"/>
      <c r="B15" s="80"/>
      <c r="C15" s="80" t="s">
        <v>114</v>
      </c>
      <c r="D15" s="80" t="s">
        <v>115</v>
      </c>
      <c r="E15" s="83" t="s">
        <v>138</v>
      </c>
      <c r="F15" s="44"/>
      <c r="G15" s="44"/>
      <c r="K15" s="44"/>
    </row>
    <row r="16" spans="1:11" ht="14.25" customHeight="1">
      <c r="A16" s="79"/>
      <c r="B16" s="80"/>
      <c r="C16" s="80" t="s">
        <v>122</v>
      </c>
      <c r="D16" s="80" t="s">
        <v>139</v>
      </c>
      <c r="E16" s="83"/>
      <c r="F16" s="44"/>
      <c r="G16" s="44"/>
      <c r="K16" s="44"/>
    </row>
    <row r="17" spans="1:11" ht="9" customHeight="1">
      <c r="A17" s="79"/>
      <c r="B17" s="80"/>
      <c r="C17" s="80"/>
      <c r="D17" s="80"/>
      <c r="E17" s="81"/>
      <c r="F17" s="44"/>
      <c r="G17" s="44"/>
      <c r="K17" s="44"/>
    </row>
    <row r="18" spans="1:11" ht="13.9" customHeight="1">
      <c r="A18" s="79"/>
      <c r="B18" s="82" t="s">
        <v>124</v>
      </c>
      <c r="C18" s="80"/>
      <c r="D18" s="80"/>
      <c r="E18" s="81"/>
      <c r="F18" s="44"/>
      <c r="G18" s="44"/>
      <c r="K18" s="44"/>
    </row>
    <row r="19" spans="1:11" ht="14.25" customHeight="1">
      <c r="A19" s="79"/>
      <c r="B19" s="80"/>
      <c r="C19" s="80" t="s">
        <v>114</v>
      </c>
      <c r="D19" s="80" t="s">
        <v>115</v>
      </c>
      <c r="E19" s="83" t="s">
        <v>138</v>
      </c>
      <c r="F19" s="44"/>
      <c r="G19" s="44"/>
      <c r="K19" s="44"/>
    </row>
    <row r="20" spans="1:11" ht="13.9" customHeight="1">
      <c r="A20" s="79"/>
      <c r="B20" s="80"/>
      <c r="C20" s="80" t="s">
        <v>122</v>
      </c>
      <c r="D20" s="80" t="s">
        <v>139</v>
      </c>
      <c r="E20" s="83"/>
      <c r="F20" s="44"/>
      <c r="G20" s="44"/>
      <c r="K20" s="44"/>
    </row>
    <row r="21" spans="1:11" ht="13.9" customHeight="1">
      <c r="A21" s="79"/>
      <c r="B21" s="80"/>
      <c r="C21" s="80"/>
      <c r="D21" s="80"/>
      <c r="E21" s="83"/>
      <c r="F21" s="44"/>
      <c r="G21" s="44"/>
      <c r="K21" s="44"/>
    </row>
    <row r="22" spans="1:11" ht="14.45" customHeight="1">
      <c r="A22" s="186" t="s">
        <v>140</v>
      </c>
      <c r="B22" s="187"/>
      <c r="C22" s="187"/>
      <c r="D22" s="187"/>
      <c r="E22" s="188"/>
      <c r="F22" s="44"/>
      <c r="G22" s="44"/>
      <c r="K22" s="44"/>
    </row>
    <row r="23" spans="1:11" ht="9" customHeight="1">
      <c r="A23" s="79"/>
      <c r="B23" s="80"/>
      <c r="C23" s="80"/>
      <c r="D23" s="80"/>
      <c r="E23" s="81"/>
      <c r="F23" s="44"/>
      <c r="G23" s="44"/>
      <c r="K23" s="44"/>
    </row>
    <row r="24" spans="1:11" ht="14.25" customHeight="1">
      <c r="A24" s="79"/>
      <c r="B24" s="82" t="s">
        <v>113</v>
      </c>
      <c r="C24" s="80"/>
      <c r="D24" s="80"/>
      <c r="E24" s="81"/>
      <c r="F24" s="44"/>
      <c r="G24" s="44"/>
      <c r="K24" s="44"/>
    </row>
    <row r="25" spans="1:11" ht="14.25" customHeight="1">
      <c r="A25" s="79"/>
      <c r="B25" s="80"/>
      <c r="C25" s="80" t="s">
        <v>114</v>
      </c>
      <c r="D25" s="80" t="s">
        <v>126</v>
      </c>
      <c r="E25" s="83" t="s">
        <v>135</v>
      </c>
      <c r="F25" s="44"/>
      <c r="G25" s="44"/>
      <c r="K25" s="44"/>
    </row>
    <row r="26" spans="1:11" ht="14.25" customHeight="1">
      <c r="A26" s="79"/>
      <c r="B26" s="80"/>
      <c r="C26" s="80" t="s">
        <v>122</v>
      </c>
      <c r="D26" s="80" t="s">
        <v>136</v>
      </c>
      <c r="E26" s="83"/>
      <c r="F26" s="44"/>
      <c r="G26" s="44"/>
      <c r="K26" s="44"/>
    </row>
    <row r="27" spans="1:11" ht="9" customHeight="1">
      <c r="A27" s="79"/>
      <c r="B27" s="80"/>
      <c r="C27" s="80"/>
      <c r="D27" s="80"/>
      <c r="E27" s="81"/>
      <c r="F27" s="44"/>
      <c r="G27" s="44"/>
      <c r="K27" s="44"/>
    </row>
    <row r="28" spans="1:11" ht="13.9" customHeight="1">
      <c r="A28" s="79"/>
      <c r="B28" s="82" t="s">
        <v>124</v>
      </c>
      <c r="C28" s="80"/>
      <c r="D28" s="80"/>
      <c r="E28" s="81"/>
      <c r="F28" s="44"/>
      <c r="G28" s="44"/>
      <c r="K28" s="44"/>
    </row>
    <row r="29" spans="1:11" ht="14.25" customHeight="1">
      <c r="A29" s="79"/>
      <c r="B29" s="80"/>
      <c r="C29" s="80" t="s">
        <v>114</v>
      </c>
      <c r="D29" s="80" t="s">
        <v>126</v>
      </c>
      <c r="E29" s="83" t="s">
        <v>135</v>
      </c>
      <c r="F29" s="44"/>
      <c r="G29" s="44"/>
      <c r="K29" s="44"/>
    </row>
    <row r="30" spans="1:11" ht="13.9" customHeight="1">
      <c r="A30" s="79"/>
      <c r="B30" s="80"/>
      <c r="C30" s="80" t="s">
        <v>122</v>
      </c>
      <c r="D30" s="80" t="s">
        <v>136</v>
      </c>
      <c r="E30" s="83"/>
      <c r="F30" s="44"/>
      <c r="G30" s="44"/>
      <c r="K30" s="44"/>
    </row>
    <row r="31" spans="1:11" ht="9" customHeight="1">
      <c r="A31" s="87"/>
      <c r="B31" s="88"/>
      <c r="C31" s="88"/>
      <c r="D31" s="88"/>
      <c r="E31" s="89"/>
      <c r="F31" s="44"/>
      <c r="G31" s="44"/>
      <c r="K31" s="44"/>
    </row>
    <row r="32" spans="1:11" ht="14.25" customHeight="1">
      <c r="A32" s="90" t="s">
        <v>127</v>
      </c>
      <c r="B32" s="80"/>
      <c r="C32" s="80"/>
      <c r="D32" s="80"/>
      <c r="E32" s="91"/>
    </row>
    <row r="33" spans="1:11" ht="14.25" customHeight="1">
      <c r="A33" s="91"/>
      <c r="B33" s="92" t="s">
        <v>141</v>
      </c>
      <c r="C33" s="92"/>
      <c r="D33" s="92"/>
      <c r="E33" s="92"/>
      <c r="F33" s="67"/>
      <c r="G33" s="67"/>
      <c r="H33" s="67"/>
      <c r="I33" s="67"/>
      <c r="J33" s="67"/>
      <c r="K33" s="93"/>
    </row>
    <row r="34" spans="1:11" ht="14.25" customHeight="1">
      <c r="A34" s="91"/>
      <c r="B34" s="92" t="s">
        <v>142</v>
      </c>
      <c r="C34" s="92"/>
      <c r="D34" s="92"/>
      <c r="E34" s="92"/>
      <c r="F34" s="67"/>
      <c r="G34" s="67"/>
      <c r="H34" s="67"/>
      <c r="I34" s="67"/>
      <c r="J34" s="67"/>
      <c r="K34" s="93"/>
    </row>
    <row r="35" spans="1:11" ht="14.25" customHeight="1">
      <c r="A35" s="91"/>
      <c r="B35" s="94" t="s">
        <v>143</v>
      </c>
      <c r="C35" s="94"/>
      <c r="D35" s="94"/>
      <c r="E35" s="95"/>
      <c r="F35" s="44"/>
      <c r="H35" s="96"/>
      <c r="I35" s="96"/>
      <c r="J35" s="96"/>
      <c r="K35" s="93"/>
    </row>
    <row r="36" spans="1:11" ht="14.25" customHeight="1"/>
    <row r="37" spans="1:11" ht="14.25" customHeight="1">
      <c r="A37" s="110" t="s">
        <v>144</v>
      </c>
    </row>
    <row r="38" spans="1:11" ht="14.25" customHeight="1"/>
    <row r="39" spans="1:11" ht="14.25" customHeight="1"/>
    <row r="40" spans="1:11" ht="14.25" customHeight="1"/>
    <row r="41" spans="1:11" ht="14.25" customHeight="1"/>
    <row r="42" spans="1:11" ht="14.25" customHeight="1"/>
    <row r="43" spans="1:11" ht="14.25" customHeight="1"/>
    <row r="44" spans="1:11" ht="14.25" customHeight="1"/>
    <row r="45" spans="1:11" ht="14.25" customHeight="1"/>
    <row r="46" spans="1:11" ht="14.25" customHeight="1"/>
    <row r="47" spans="1:11" ht="14.25" customHeight="1"/>
    <row r="48" spans="1:11" ht="14.25" customHeight="1"/>
    <row r="49" ht="14.25" customHeight="1"/>
    <row r="50" ht="14.25" customHeight="1"/>
    <row r="51" ht="14.25" customHeight="1"/>
    <row r="52" ht="14.25" customHeight="1"/>
  </sheetData>
  <mergeCells count="4">
    <mergeCell ref="A1:E1"/>
    <mergeCell ref="A2:E2"/>
    <mergeCell ref="A12:E12"/>
    <mergeCell ref="A22:E22"/>
  </mergeCells>
  <printOptions horizontalCentered="1"/>
  <pageMargins left="0" right="0" top="0.95" bottom="0" header="0.22" footer="0.21"/>
  <pageSetup orientation="landscape" r:id="rId1"/>
  <headerFooter alignWithMargins="0">
    <oddHeader>&amp;C&amp;"Arial,Bold"&amp;12Pacific Gas and Electric Company &amp;10
Residential Time-of-Use Periods
Rate Schedules E-TOU, E-TOU-C and E-TOU-D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indexed="52"/>
  </sheetPr>
  <dimension ref="A1:G79"/>
  <sheetViews>
    <sheetView showGridLines="0" workbookViewId="0">
      <selection sqref="A1:E1"/>
    </sheetView>
  </sheetViews>
  <sheetFormatPr defaultRowHeight="12.75"/>
  <cols>
    <col min="1" max="1" width="3.5703125" style="26" customWidth="1"/>
    <col min="2" max="2" width="4.140625" customWidth="1"/>
    <col min="3" max="3" width="16.7109375" customWidth="1"/>
    <col min="4" max="4" width="26.85546875" customWidth="1"/>
    <col min="5" max="5" width="36.7109375" style="20" customWidth="1"/>
    <col min="6" max="6" width="9.5703125" style="20" customWidth="1"/>
    <col min="7" max="7" width="29.140625" customWidth="1"/>
  </cols>
  <sheetData>
    <row r="1" spans="1:5">
      <c r="A1" s="192" t="s">
        <v>145</v>
      </c>
      <c r="B1" s="194"/>
      <c r="C1" s="194"/>
      <c r="D1" s="194"/>
      <c r="E1" s="195"/>
    </row>
    <row r="2" spans="1:5">
      <c r="A2" s="189" t="s">
        <v>146</v>
      </c>
      <c r="B2" s="190"/>
      <c r="C2" s="190"/>
      <c r="D2" s="190"/>
      <c r="E2" s="191"/>
    </row>
    <row r="3" spans="1:5" ht="9" customHeight="1">
      <c r="A3" s="196"/>
      <c r="E3" s="21"/>
    </row>
    <row r="4" spans="1:5" ht="14.25" customHeight="1">
      <c r="A4" s="196"/>
      <c r="B4" s="22" t="s">
        <v>147</v>
      </c>
      <c r="E4" s="21"/>
    </row>
    <row r="5" spans="1:5" ht="14.25" customHeight="1">
      <c r="A5" s="196"/>
      <c r="C5" t="s">
        <v>114</v>
      </c>
      <c r="D5" t="s">
        <v>148</v>
      </c>
      <c r="E5" s="23" t="s">
        <v>116</v>
      </c>
    </row>
    <row r="6" spans="1:5" ht="14.25" customHeight="1">
      <c r="A6" s="196"/>
      <c r="D6" t="s">
        <v>149</v>
      </c>
      <c r="E6" s="23" t="s">
        <v>150</v>
      </c>
    </row>
    <row r="7" spans="1:5" ht="14.25" customHeight="1">
      <c r="A7" s="196"/>
      <c r="E7" s="21"/>
    </row>
    <row r="8" spans="1:5" ht="14.25" customHeight="1">
      <c r="A8" s="196"/>
      <c r="C8" t="s">
        <v>117</v>
      </c>
      <c r="D8" t="s">
        <v>151</v>
      </c>
      <c r="E8" s="23" t="s">
        <v>152</v>
      </c>
    </row>
    <row r="9" spans="1:5" ht="14.25" customHeight="1">
      <c r="A9" s="196"/>
      <c r="D9" t="s">
        <v>153</v>
      </c>
      <c r="E9" s="23" t="s">
        <v>152</v>
      </c>
    </row>
    <row r="10" spans="1:5" ht="14.25" customHeight="1">
      <c r="A10" s="196"/>
      <c r="E10" s="23"/>
    </row>
    <row r="11" spans="1:5" ht="14.25" customHeight="1">
      <c r="A11" s="196"/>
      <c r="C11" t="s">
        <v>122</v>
      </c>
      <c r="D11" t="s">
        <v>154</v>
      </c>
      <c r="E11" s="23"/>
    </row>
    <row r="12" spans="1:5" ht="9" customHeight="1">
      <c r="A12" s="197"/>
      <c r="B12" s="24"/>
      <c r="C12" s="24"/>
      <c r="D12" s="24"/>
      <c r="E12" s="27"/>
    </row>
    <row r="13" spans="1:5" ht="9" customHeight="1">
      <c r="A13" s="20"/>
      <c r="E13" s="14"/>
    </row>
    <row r="14" spans="1:5" ht="9" customHeight="1">
      <c r="A14" s="20"/>
      <c r="E14" s="14"/>
    </row>
    <row r="15" spans="1:5">
      <c r="A15" s="192" t="s">
        <v>155</v>
      </c>
      <c r="B15" s="194"/>
      <c r="C15" s="194"/>
      <c r="D15" s="194"/>
      <c r="E15" s="195"/>
    </row>
    <row r="16" spans="1:5">
      <c r="A16" s="189" t="s">
        <v>156</v>
      </c>
      <c r="B16" s="190"/>
      <c r="C16" s="190"/>
      <c r="D16" s="190"/>
      <c r="E16" s="191"/>
    </row>
    <row r="17" spans="1:5" ht="9" customHeight="1">
      <c r="A17" s="196"/>
      <c r="E17" s="21"/>
    </row>
    <row r="18" spans="1:5" ht="14.25" customHeight="1">
      <c r="A18" s="196"/>
      <c r="B18" s="22" t="s">
        <v>147</v>
      </c>
      <c r="E18" s="21"/>
    </row>
    <row r="19" spans="1:5" ht="14.25" customHeight="1">
      <c r="A19" s="196"/>
      <c r="C19" t="s">
        <v>114</v>
      </c>
      <c r="D19" t="s">
        <v>115</v>
      </c>
      <c r="E19" s="23" t="s">
        <v>157</v>
      </c>
    </row>
    <row r="20" spans="1:5" ht="14.25" customHeight="1">
      <c r="A20" s="196"/>
      <c r="E20" s="21"/>
    </row>
    <row r="21" spans="1:5" ht="14.25" customHeight="1">
      <c r="A21" s="196"/>
      <c r="C21" t="s">
        <v>117</v>
      </c>
      <c r="D21" t="s">
        <v>158</v>
      </c>
      <c r="E21" s="23" t="s">
        <v>157</v>
      </c>
    </row>
    <row r="22" spans="1:5" ht="14.25" customHeight="1">
      <c r="A22" s="196"/>
      <c r="D22" t="s">
        <v>159</v>
      </c>
      <c r="E22" s="23" t="s">
        <v>157</v>
      </c>
    </row>
    <row r="23" spans="1:5" ht="14.25" customHeight="1">
      <c r="A23" s="196"/>
      <c r="E23" s="23"/>
    </row>
    <row r="24" spans="1:5" ht="14.25" customHeight="1">
      <c r="A24" s="196"/>
      <c r="C24" t="s">
        <v>122</v>
      </c>
      <c r="D24" t="s">
        <v>154</v>
      </c>
      <c r="E24" s="23"/>
    </row>
    <row r="25" spans="1:5" ht="9" customHeight="1">
      <c r="A25" s="197"/>
      <c r="B25" s="24"/>
      <c r="C25" s="24"/>
      <c r="D25" s="24"/>
      <c r="E25" s="27"/>
    </row>
    <row r="26" spans="1:5" ht="9" customHeight="1">
      <c r="A26" s="20"/>
      <c r="E26" s="14"/>
    </row>
    <row r="27" spans="1:5" ht="9" customHeight="1">
      <c r="A27" s="20"/>
      <c r="E27" s="14"/>
    </row>
    <row r="28" spans="1:5" ht="14.25" customHeight="1">
      <c r="A28" s="192" t="s">
        <v>160</v>
      </c>
      <c r="B28" s="194"/>
      <c r="C28" s="194"/>
      <c r="D28" s="194"/>
      <c r="E28" s="195"/>
    </row>
    <row r="29" spans="1:5" ht="14.25" customHeight="1">
      <c r="A29" s="189" t="s">
        <v>156</v>
      </c>
      <c r="B29" s="190"/>
      <c r="C29" s="190"/>
      <c r="D29" s="190"/>
      <c r="E29" s="191"/>
    </row>
    <row r="30" spans="1:5" ht="9" customHeight="1">
      <c r="A30" s="196"/>
      <c r="E30" s="21"/>
    </row>
    <row r="31" spans="1:5" ht="14.25" customHeight="1">
      <c r="A31" s="196"/>
      <c r="B31" s="22" t="s">
        <v>147</v>
      </c>
      <c r="E31" s="21"/>
    </row>
    <row r="32" spans="1:5" ht="14.25" customHeight="1">
      <c r="A32" s="196"/>
      <c r="C32" t="s">
        <v>114</v>
      </c>
      <c r="D32" t="s">
        <v>115</v>
      </c>
      <c r="E32" s="23" t="s">
        <v>157</v>
      </c>
    </row>
    <row r="33" spans="1:5" ht="14.25" customHeight="1">
      <c r="A33" s="196"/>
      <c r="E33" s="21"/>
    </row>
    <row r="34" spans="1:5" ht="14.25" customHeight="1">
      <c r="A34" s="196"/>
      <c r="C34" t="s">
        <v>117</v>
      </c>
      <c r="D34" t="s">
        <v>158</v>
      </c>
      <c r="E34" s="23" t="s">
        <v>157</v>
      </c>
    </row>
    <row r="35" spans="1:5" ht="14.25" customHeight="1">
      <c r="A35" s="196"/>
      <c r="D35" t="s">
        <v>159</v>
      </c>
      <c r="E35" s="23" t="s">
        <v>157</v>
      </c>
    </row>
    <row r="36" spans="1:5" ht="14.25" customHeight="1">
      <c r="A36" s="196"/>
      <c r="E36" s="23"/>
    </row>
    <row r="37" spans="1:5" ht="14.25" customHeight="1">
      <c r="A37" s="196"/>
      <c r="C37" t="s">
        <v>122</v>
      </c>
      <c r="D37" t="s">
        <v>154</v>
      </c>
      <c r="E37" s="23"/>
    </row>
    <row r="38" spans="1:5" ht="9" customHeight="1">
      <c r="A38" s="197"/>
      <c r="B38" s="24"/>
      <c r="C38" s="24"/>
      <c r="D38" s="24"/>
      <c r="E38" s="27"/>
    </row>
    <row r="39" spans="1:5" ht="9" customHeight="1">
      <c r="A39" s="20"/>
      <c r="E39" s="14"/>
    </row>
    <row r="40" spans="1:5" ht="14.25" customHeight="1">
      <c r="A40" s="20"/>
      <c r="B40" s="20" t="s">
        <v>127</v>
      </c>
      <c r="E40"/>
    </row>
    <row r="41" spans="1:5" ht="14.25" customHeight="1">
      <c r="A41" s="20"/>
      <c r="B41" s="20"/>
      <c r="C41" s="60" t="s">
        <v>128</v>
      </c>
      <c r="E41"/>
    </row>
    <row r="42" spans="1:5" ht="14.25" customHeight="1">
      <c r="A42" s="20"/>
      <c r="B42" s="20"/>
      <c r="C42" t="s">
        <v>129</v>
      </c>
      <c r="E42"/>
    </row>
    <row r="43" spans="1:5" ht="14.25" customHeight="1">
      <c r="A43" s="20"/>
      <c r="B43" s="20"/>
      <c r="C43" t="s">
        <v>130</v>
      </c>
      <c r="E43"/>
    </row>
    <row r="44" spans="1:5" ht="14.25" customHeight="1">
      <c r="A44" s="20"/>
    </row>
    <row r="45" spans="1:5" ht="14.25" customHeight="1">
      <c r="A45" s="20"/>
    </row>
    <row r="46" spans="1:5" ht="14.25" customHeight="1">
      <c r="A46" s="20"/>
    </row>
    <row r="47" spans="1:5" ht="14.25" customHeight="1">
      <c r="A47" s="20"/>
    </row>
    <row r="48" spans="1:5" ht="14.25" customHeight="1">
      <c r="A48" s="20"/>
    </row>
    <row r="49" spans="2:7" ht="14.25" customHeight="1"/>
    <row r="50" spans="2:7" ht="14.25" customHeight="1"/>
    <row r="51" spans="2:7" ht="14.25" customHeight="1"/>
    <row r="52" spans="2:7" ht="14.25" customHeight="1"/>
    <row r="53" spans="2:7" ht="14.25" customHeight="1"/>
    <row r="54" spans="2:7" ht="14.25" customHeight="1"/>
    <row r="55" spans="2:7" ht="14.25" customHeight="1"/>
    <row r="56" spans="2:7" ht="14.25" customHeight="1"/>
    <row r="57" spans="2:7" ht="14.25" customHeight="1"/>
    <row r="58" spans="2:7" ht="14.25" customHeight="1"/>
    <row r="59" spans="2:7" s="26" customFormat="1" ht="14.25" customHeight="1">
      <c r="B59"/>
      <c r="C59"/>
      <c r="D59"/>
      <c r="E59" s="20"/>
      <c r="F59" s="20"/>
      <c r="G59"/>
    </row>
    <row r="60" spans="2:7" s="26" customFormat="1" ht="14.25" customHeight="1">
      <c r="B60"/>
      <c r="C60"/>
      <c r="D60"/>
      <c r="E60" s="20"/>
      <c r="F60" s="20"/>
      <c r="G60"/>
    </row>
    <row r="61" spans="2:7" s="26" customFormat="1" ht="14.25" customHeight="1">
      <c r="B61"/>
      <c r="C61"/>
      <c r="D61"/>
      <c r="E61" s="20"/>
      <c r="F61" s="20"/>
      <c r="G61"/>
    </row>
    <row r="62" spans="2:7" s="26" customFormat="1" ht="14.25" customHeight="1">
      <c r="B62"/>
      <c r="C62"/>
      <c r="D62"/>
      <c r="E62" s="20"/>
      <c r="F62" s="20"/>
      <c r="G62"/>
    </row>
    <row r="63" spans="2:7" s="26" customFormat="1" ht="14.25" customHeight="1">
      <c r="B63"/>
      <c r="C63"/>
      <c r="D63"/>
      <c r="E63" s="20"/>
      <c r="F63" s="20"/>
      <c r="G63"/>
    </row>
    <row r="64" spans="2:7" s="26" customFormat="1" ht="14.25" customHeight="1">
      <c r="B64"/>
      <c r="C64"/>
      <c r="D64"/>
      <c r="E64" s="20"/>
      <c r="F64" s="20"/>
      <c r="G64"/>
    </row>
    <row r="65" spans="2:7" s="26" customFormat="1" ht="14.25" customHeight="1">
      <c r="B65"/>
      <c r="C65"/>
      <c r="D65"/>
      <c r="E65" s="20"/>
      <c r="F65" s="20"/>
      <c r="G65"/>
    </row>
    <row r="66" spans="2:7" s="26" customFormat="1" ht="14.25" customHeight="1">
      <c r="B66"/>
      <c r="C66"/>
      <c r="D66"/>
      <c r="E66" s="20"/>
      <c r="F66" s="20"/>
      <c r="G66"/>
    </row>
    <row r="67" spans="2:7" s="26" customFormat="1" ht="14.25" customHeight="1">
      <c r="B67"/>
      <c r="C67"/>
      <c r="D67"/>
      <c r="E67" s="20"/>
      <c r="F67" s="20"/>
      <c r="G67"/>
    </row>
    <row r="68" spans="2:7" s="26" customFormat="1" ht="14.25" customHeight="1">
      <c r="B68"/>
      <c r="C68"/>
      <c r="D68"/>
      <c r="E68" s="20"/>
      <c r="F68" s="20"/>
      <c r="G68"/>
    </row>
    <row r="69" spans="2:7" s="26" customFormat="1" ht="14.25" customHeight="1">
      <c r="B69"/>
      <c r="C69"/>
      <c r="D69"/>
      <c r="E69" s="20"/>
      <c r="F69" s="20"/>
      <c r="G69"/>
    </row>
    <row r="70" spans="2:7" s="26" customFormat="1" ht="14.25" customHeight="1">
      <c r="B70"/>
      <c r="C70"/>
      <c r="D70"/>
      <c r="E70" s="20"/>
      <c r="F70" s="20"/>
      <c r="G70"/>
    </row>
    <row r="71" spans="2:7" s="26" customFormat="1" ht="14.25" customHeight="1">
      <c r="B71"/>
      <c r="C71"/>
      <c r="D71"/>
      <c r="E71" s="20"/>
      <c r="F71" s="20"/>
      <c r="G71"/>
    </row>
    <row r="72" spans="2:7" s="26" customFormat="1" ht="14.25" customHeight="1">
      <c r="B72"/>
      <c r="C72"/>
      <c r="D72"/>
      <c r="E72" s="20"/>
      <c r="F72" s="20"/>
      <c r="G72"/>
    </row>
    <row r="73" spans="2:7" s="26" customFormat="1" ht="14.25" customHeight="1">
      <c r="B73"/>
      <c r="C73"/>
      <c r="D73"/>
      <c r="E73" s="20"/>
      <c r="F73" s="20"/>
      <c r="G73"/>
    </row>
    <row r="74" spans="2:7" s="26" customFormat="1" ht="14.25" customHeight="1">
      <c r="B74"/>
      <c r="C74"/>
      <c r="D74"/>
      <c r="E74" s="20"/>
      <c r="F74" s="20"/>
      <c r="G74"/>
    </row>
    <row r="75" spans="2:7" s="26" customFormat="1" ht="14.25" customHeight="1">
      <c r="B75"/>
      <c r="C75"/>
      <c r="D75"/>
      <c r="E75" s="20"/>
      <c r="F75" s="20"/>
      <c r="G75"/>
    </row>
    <row r="76" spans="2:7" s="26" customFormat="1" ht="14.25" customHeight="1">
      <c r="B76"/>
      <c r="C76"/>
      <c r="D76"/>
      <c r="E76" s="20"/>
      <c r="F76" s="20"/>
      <c r="G76"/>
    </row>
    <row r="77" spans="2:7" s="26" customFormat="1" ht="14.25" customHeight="1">
      <c r="B77"/>
      <c r="C77"/>
      <c r="D77"/>
      <c r="E77" s="20"/>
      <c r="F77" s="20"/>
      <c r="G77"/>
    </row>
    <row r="78" spans="2:7" s="26" customFormat="1" ht="14.25" customHeight="1">
      <c r="B78"/>
      <c r="C78"/>
      <c r="D78"/>
      <c r="E78" s="20"/>
      <c r="F78" s="20"/>
      <c r="G78"/>
    </row>
    <row r="79" spans="2:7" s="26" customFormat="1" ht="14.25" customHeight="1">
      <c r="B79"/>
      <c r="C79"/>
      <c r="D79"/>
      <c r="E79" s="20"/>
      <c r="F79" s="20"/>
      <c r="G79"/>
    </row>
  </sheetData>
  <mergeCells count="6">
    <mergeCell ref="A29:E29"/>
    <mergeCell ref="A1:E1"/>
    <mergeCell ref="A15:E15"/>
    <mergeCell ref="A16:E16"/>
    <mergeCell ref="A2:E2"/>
    <mergeCell ref="A28:E28"/>
  </mergeCells>
  <printOptions horizontalCentered="1"/>
  <pageMargins left="0" right="0" top="1.1000000000000001" bottom="0" header="0.22" footer="0.21"/>
  <pageSetup orientation="landscape" r:id="rId1"/>
  <headerFooter alignWithMargins="0">
    <oddHeader>&amp;C&amp;"Arial,Bold"&amp;12Pacific Gas and Electric Company &amp;10
Residential Time-of-Use Periods
Rate Schedules EV, EV2 and E-ELEC</oddHeader>
  </headerFooter>
</worksheet>
</file>

<file path=docMetadata/LabelInfo.xml><?xml version="1.0" encoding="utf-8"?>
<clbl:labelList xmlns:clbl="http://schemas.microsoft.com/office/2020/mipLabelMetadata">
  <clbl:label id="{6b0d6fe9-5d6a-4bc0-a54c-bcad7a1ba9de}" enabled="1" method="Privileged" siteId="{44ae661a-ece6-41aa-bc96-7c2c85a0894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Pacific Gas and Electric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Elizabeth Bacon</dc:creator>
  <cp:keywords/>
  <dc:description/>
  <cp:lastModifiedBy>Vasquez, Wendy</cp:lastModifiedBy>
  <cp:revision/>
  <dcterms:created xsi:type="dcterms:W3CDTF">2002-06-27T17:52:48Z</dcterms:created>
  <dcterms:modified xsi:type="dcterms:W3CDTF">2026-03-15T05:56:15Z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0d6fe9-5d6a-4bc0-a54c-bcad7a1ba9de_Enabled">
    <vt:lpwstr>true</vt:lpwstr>
  </property>
  <property fmtid="{D5CDD505-2E9C-101B-9397-08002B2CF9AE}" pid="3" name="MSIP_Label_6b0d6fe9-5d6a-4bc0-a54c-bcad7a1ba9de_SetDate">
    <vt:lpwstr>2023-02-24T22:14:32Z</vt:lpwstr>
  </property>
  <property fmtid="{D5CDD505-2E9C-101B-9397-08002B2CF9AE}" pid="4" name="MSIP_Label_6b0d6fe9-5d6a-4bc0-a54c-bcad7a1ba9de_Method">
    <vt:lpwstr>Privileged</vt:lpwstr>
  </property>
  <property fmtid="{D5CDD505-2E9C-101B-9397-08002B2CF9AE}" pid="5" name="MSIP_Label_6b0d6fe9-5d6a-4bc0-a54c-bcad7a1ba9de_Name">
    <vt:lpwstr>Internal (No Markings)</vt:lpwstr>
  </property>
  <property fmtid="{D5CDD505-2E9C-101B-9397-08002B2CF9AE}" pid="6" name="MSIP_Label_6b0d6fe9-5d6a-4bc0-a54c-bcad7a1ba9de_SiteId">
    <vt:lpwstr>44ae661a-ece6-41aa-bc96-7c2c85a08941</vt:lpwstr>
  </property>
  <property fmtid="{D5CDD505-2E9C-101B-9397-08002B2CF9AE}" pid="7" name="MSIP_Label_6b0d6fe9-5d6a-4bc0-a54c-bcad7a1ba9de_ActionId">
    <vt:lpwstr>2e2b0df4-a1ff-419f-b9f4-13ba1566ac1c</vt:lpwstr>
  </property>
  <property fmtid="{D5CDD505-2E9C-101B-9397-08002B2CF9AE}" pid="8" name="MSIP_Label_6b0d6fe9-5d6a-4bc0-a54c-bcad7a1ba9de_ContentBits">
    <vt:lpwstr>0</vt:lpwstr>
  </property>
</Properties>
</file>