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klowe/repos-personal/energy-project/python-notebooks/"/>
    </mc:Choice>
  </mc:AlternateContent>
  <xr:revisionPtr revIDLastSave="0" documentId="13_ncr:1_{AAD96A0D-48E0-8342-94CB-F075011E3B1F}" xr6:coauthVersionLast="47" xr6:coauthVersionMax="47" xr10:uidLastSave="{00000000-0000-0000-0000-000000000000}"/>
  <bookViews>
    <workbookView xWindow="0" yWindow="760" windowWidth="35880" windowHeight="23160" xr2:uid="{00000000-000D-0000-FFFF-FFFF00000000}"/>
  </bookViews>
  <sheets>
    <sheet name="Billin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2M36g39RDS8Dj2K7ugxsqukarO0gx3oDdzRLXrV9NEI="/>
    </ext>
  </extLst>
</workbook>
</file>

<file path=xl/calcChain.xml><?xml version="1.0" encoding="utf-8"?>
<calcChain xmlns="http://schemas.openxmlformats.org/spreadsheetml/2006/main">
  <c r="R17" i="1" l="1"/>
  <c r="Q17" i="1"/>
  <c r="AR7" i="1"/>
  <c r="BF7" i="1"/>
  <c r="AK7" i="1"/>
  <c r="S7" i="1"/>
  <c r="Y32" i="1"/>
  <c r="Y28" i="1"/>
  <c r="AA28" i="1" s="1"/>
  <c r="Y17" i="1"/>
  <c r="M7" i="1"/>
  <c r="E7" i="1" s="1"/>
  <c r="K8" i="1"/>
  <c r="J11" i="1"/>
  <c r="M23" i="1"/>
  <c r="E23" i="1" s="1"/>
  <c r="D23" i="1"/>
  <c r="M25" i="1"/>
  <c r="D26" i="1" s="1"/>
  <c r="M17" i="1"/>
  <c r="E18" i="1" s="1"/>
  <c r="P17" i="1"/>
  <c r="K20" i="1"/>
  <c r="P21" i="1"/>
  <c r="P22" i="1"/>
  <c r="K17" i="1"/>
  <c r="J17" i="1"/>
  <c r="AR29" i="1"/>
  <c r="J8" i="1"/>
  <c r="M8" i="1"/>
  <c r="E9" i="1" s="1"/>
  <c r="AP9" i="1" s="1"/>
  <c r="AM9" i="1" s="1"/>
  <c r="G6" i="2"/>
  <c r="G9" i="2"/>
  <c r="Q9" i="1"/>
  <c r="AS8" i="1"/>
  <c r="AI11" i="1"/>
  <c r="AK11" i="1" s="1"/>
  <c r="AI7" i="1"/>
  <c r="W17" i="1"/>
  <c r="BF32" i="1"/>
  <c r="AX32" i="1"/>
  <c r="BA32" i="1" s="1"/>
  <c r="AU32" i="1"/>
  <c r="AR32" i="1"/>
  <c r="AI32" i="1"/>
  <c r="AK32" i="1" s="1"/>
  <c r="W32" i="1"/>
  <c r="V32" i="1"/>
  <c r="U32" i="1"/>
  <c r="S32" i="1"/>
  <c r="L32" i="1"/>
  <c r="M32" i="1" s="1"/>
  <c r="E32" i="1" s="1"/>
  <c r="AP32" i="1" s="1"/>
  <c r="AM32" i="1" s="1"/>
  <c r="I32" i="1"/>
  <c r="AW31" i="1"/>
  <c r="AV31" i="1"/>
  <c r="AU31" i="1"/>
  <c r="S31" i="1"/>
  <c r="AW30" i="1"/>
  <c r="AV30" i="1"/>
  <c r="AU30" i="1"/>
  <c r="S30" i="1"/>
  <c r="AT29" i="1"/>
  <c r="AS29" i="1"/>
  <c r="AI29" i="1"/>
  <c r="AK29" i="1" s="1"/>
  <c r="R29" i="1"/>
  <c r="Q29" i="1"/>
  <c r="W29" i="1" s="1"/>
  <c r="M29" i="1"/>
  <c r="D30" i="1" s="1"/>
  <c r="AO30" i="1" s="1"/>
  <c r="AL30" i="1" s="1"/>
  <c r="K29" i="1"/>
  <c r="J29" i="1"/>
  <c r="H29" i="1"/>
  <c r="G29" i="1"/>
  <c r="BF28" i="1"/>
  <c r="AW28" i="1"/>
  <c r="AV28" i="1"/>
  <c r="AU28" i="1"/>
  <c r="AP28" i="1"/>
  <c r="AM28" i="1" s="1"/>
  <c r="AO28" i="1"/>
  <c r="AL28" i="1" s="1"/>
  <c r="AI28" i="1"/>
  <c r="AE28" i="1"/>
  <c r="W28" i="1"/>
  <c r="V28" i="1"/>
  <c r="U28" i="1"/>
  <c r="S28" i="1"/>
  <c r="I28" i="1"/>
  <c r="BF25" i="1"/>
  <c r="AW25" i="1"/>
  <c r="AV25" i="1"/>
  <c r="AU25" i="1"/>
  <c r="AR25" i="1"/>
  <c r="AI25" i="1"/>
  <c r="AK25" i="1" s="1"/>
  <c r="AE25" i="1"/>
  <c r="R25" i="1"/>
  <c r="V25" i="1" s="1"/>
  <c r="Q25" i="1"/>
  <c r="W25" i="1" s="1"/>
  <c r="P25" i="1"/>
  <c r="K25" i="1"/>
  <c r="J25" i="1"/>
  <c r="H25" i="1"/>
  <c r="G25" i="1"/>
  <c r="BF24" i="1"/>
  <c r="AW24" i="1"/>
  <c r="AV24" i="1"/>
  <c r="AU24" i="1"/>
  <c r="AR24" i="1"/>
  <c r="AI24" i="1"/>
  <c r="AK24" i="1" s="1"/>
  <c r="AE24" i="1"/>
  <c r="R24" i="1"/>
  <c r="V24" i="1" s="1"/>
  <c r="Q24" i="1"/>
  <c r="W24" i="1" s="1"/>
  <c r="P24" i="1"/>
  <c r="M24" i="1"/>
  <c r="E24" i="1" s="1"/>
  <c r="AP24" i="1" s="1"/>
  <c r="AM24" i="1" s="1"/>
  <c r="BF23" i="1"/>
  <c r="AY23" i="1"/>
  <c r="AW23" i="1"/>
  <c r="AV23" i="1"/>
  <c r="AU23" i="1"/>
  <c r="AR23" i="1"/>
  <c r="AI23" i="1"/>
  <c r="AK23" i="1" s="1"/>
  <c r="AE23" i="1"/>
  <c r="T23" i="1"/>
  <c r="R23" i="1"/>
  <c r="V23" i="1" s="1"/>
  <c r="Q23" i="1"/>
  <c r="Y23" i="1" s="1"/>
  <c r="P23" i="1"/>
  <c r="BF20" i="1"/>
  <c r="AY20" i="1"/>
  <c r="AT20" i="1"/>
  <c r="AS20" i="1"/>
  <c r="AR20" i="1"/>
  <c r="AI20" i="1"/>
  <c r="AK20" i="1" s="1"/>
  <c r="AE20" i="1"/>
  <c r="T20" i="1"/>
  <c r="O20" i="1"/>
  <c r="N20" i="1"/>
  <c r="M20" i="1"/>
  <c r="D22" i="1" s="1"/>
  <c r="J20" i="1"/>
  <c r="D20" i="1" s="1"/>
  <c r="H20" i="1"/>
  <c r="G20" i="1"/>
  <c r="AW22" i="1"/>
  <c r="AV22" i="1"/>
  <c r="AU22" i="1"/>
  <c r="R22" i="1"/>
  <c r="Q22" i="1"/>
  <c r="AW21" i="1"/>
  <c r="AV21" i="1"/>
  <c r="AU21" i="1"/>
  <c r="R21" i="1"/>
  <c r="Q21" i="1"/>
  <c r="BF17" i="1"/>
  <c r="AY17" i="1"/>
  <c r="AW17" i="1"/>
  <c r="AV17" i="1"/>
  <c r="AU17" i="1"/>
  <c r="AR17" i="1"/>
  <c r="AI17" i="1"/>
  <c r="AK17" i="1" s="1"/>
  <c r="AE17" i="1"/>
  <c r="T17" i="1"/>
  <c r="V17" i="1"/>
  <c r="H17" i="1"/>
  <c r="G17" i="1"/>
  <c r="AW16" i="1"/>
  <c r="AV16" i="1"/>
  <c r="AU16" i="1"/>
  <c r="R16" i="1"/>
  <c r="Q16" i="1"/>
  <c r="P16" i="1"/>
  <c r="AW15" i="1"/>
  <c r="AV15" i="1"/>
  <c r="AU15" i="1"/>
  <c r="R15" i="1"/>
  <c r="Q15" i="1"/>
  <c r="P15" i="1"/>
  <c r="BF14" i="1"/>
  <c r="AY14" i="1"/>
  <c r="AT14" i="1"/>
  <c r="AS14" i="1"/>
  <c r="AR14" i="1"/>
  <c r="AI14" i="1"/>
  <c r="AK14" i="1" s="1"/>
  <c r="AE14" i="1"/>
  <c r="T14" i="1"/>
  <c r="O14" i="1"/>
  <c r="N14" i="1"/>
  <c r="M14" i="1"/>
  <c r="E14" i="1" s="1"/>
  <c r="AP14" i="1" s="1"/>
  <c r="BF11" i="1"/>
  <c r="AW11" i="1"/>
  <c r="AV11" i="1"/>
  <c r="AU11" i="1"/>
  <c r="AY11" i="1" s="1"/>
  <c r="AR11" i="1"/>
  <c r="AE11" i="1"/>
  <c r="T11" i="1"/>
  <c r="R11" i="1"/>
  <c r="V11" i="1" s="1"/>
  <c r="Q11" i="1"/>
  <c r="Y11" i="1" s="1"/>
  <c r="P11" i="1"/>
  <c r="M11" i="1"/>
  <c r="E12" i="1" s="1"/>
  <c r="K11" i="1"/>
  <c r="H11" i="1"/>
  <c r="G11" i="1"/>
  <c r="AW10" i="1"/>
  <c r="AV10" i="1"/>
  <c r="AU10" i="1"/>
  <c r="R10" i="1"/>
  <c r="Q10" i="1"/>
  <c r="P10" i="1"/>
  <c r="AW9" i="1"/>
  <c r="AV9" i="1"/>
  <c r="AU9" i="1"/>
  <c r="R9" i="1"/>
  <c r="P9" i="1"/>
  <c r="BF8" i="1"/>
  <c r="AY8" i="1"/>
  <c r="AT8" i="1"/>
  <c r="AR8" i="1"/>
  <c r="AI8" i="1"/>
  <c r="AK8" i="1" s="1"/>
  <c r="AE8" i="1"/>
  <c r="T8" i="1"/>
  <c r="O8" i="1"/>
  <c r="N8" i="1"/>
  <c r="H8" i="1"/>
  <c r="G8" i="1"/>
  <c r="AY7" i="1"/>
  <c r="AW7" i="1"/>
  <c r="AV7" i="1"/>
  <c r="AU7" i="1"/>
  <c r="AE7" i="1"/>
  <c r="T7" i="1"/>
  <c r="Y7" i="1" s="1"/>
  <c r="R7" i="1"/>
  <c r="V7" i="1" s="1"/>
  <c r="Q7" i="1"/>
  <c r="W7" i="1" s="1"/>
  <c r="P7" i="1"/>
  <c r="AP7" i="1" l="1"/>
  <c r="AM7" i="1" s="1"/>
  <c r="Y24" i="1"/>
  <c r="Y25" i="1"/>
  <c r="Y29" i="1"/>
  <c r="E30" i="1"/>
  <c r="AP30" i="1" s="1"/>
  <c r="AM30" i="1" s="1"/>
  <c r="Q14" i="1"/>
  <c r="W14" i="1" s="1"/>
  <c r="E31" i="1"/>
  <c r="AP31" i="1" s="1"/>
  <c r="AM31" i="1" s="1"/>
  <c r="E8" i="1"/>
  <c r="AP8" i="1" s="1"/>
  <c r="AM8" i="1" s="1"/>
  <c r="E10" i="1"/>
  <c r="AP10" i="1" s="1"/>
  <c r="AM10" i="1" s="1"/>
  <c r="D31" i="1"/>
  <c r="AO31" i="1" s="1"/>
  <c r="AL31" i="1" s="1"/>
  <c r="D29" i="1"/>
  <c r="AO29" i="1" s="1"/>
  <c r="AL29" i="1" s="1"/>
  <c r="AV14" i="1"/>
  <c r="E29" i="1"/>
  <c r="D19" i="1"/>
  <c r="D13" i="1"/>
  <c r="D18" i="1"/>
  <c r="D17" i="1"/>
  <c r="AO17" i="1" s="1"/>
  <c r="AL17" i="1" s="1"/>
  <c r="E19" i="1"/>
  <c r="D10" i="1"/>
  <c r="AO10" i="1" s="1"/>
  <c r="AL10" i="1" s="1"/>
  <c r="AX17" i="1"/>
  <c r="BA17" i="1" s="1"/>
  <c r="D24" i="1"/>
  <c r="AO24" i="1" s="1"/>
  <c r="AL24" i="1" s="1"/>
  <c r="D9" i="1"/>
  <c r="AO9" i="1" s="1"/>
  <c r="AL9" i="1" s="1"/>
  <c r="D12" i="1"/>
  <c r="D27" i="1"/>
  <c r="E13" i="1"/>
  <c r="E26" i="1"/>
  <c r="E27" i="1"/>
  <c r="U29" i="1"/>
  <c r="E20" i="1"/>
  <c r="AP20" i="1" s="1"/>
  <c r="AM20" i="1" s="1"/>
  <c r="E22" i="1"/>
  <c r="E21" i="1"/>
  <c r="D21" i="1"/>
  <c r="D11" i="1"/>
  <c r="AO11" i="1" s="1"/>
  <c r="AL11" i="1" s="1"/>
  <c r="R8" i="1"/>
  <c r="E11" i="1"/>
  <c r="AP11" i="1" s="1"/>
  <c r="AM11" i="1" s="1"/>
  <c r="AW20" i="1"/>
  <c r="AW14" i="1"/>
  <c r="D7" i="1"/>
  <c r="AO7" i="1" s="1"/>
  <c r="AL7" i="1" s="1"/>
  <c r="R14" i="1"/>
  <c r="V14" i="1" s="1"/>
  <c r="AW8" i="1"/>
  <c r="Q8" i="1"/>
  <c r="AO20" i="1"/>
  <c r="AL20" i="1" s="1"/>
  <c r="AV29" i="1"/>
  <c r="AX28" i="1"/>
  <c r="BA28" i="1" s="1"/>
  <c r="U25" i="1"/>
  <c r="AU29" i="1"/>
  <c r="S29" i="1"/>
  <c r="AU14" i="1"/>
  <c r="AP29" i="1"/>
  <c r="AM29" i="1" s="1"/>
  <c r="AV8" i="1"/>
  <c r="AM14" i="1"/>
  <c r="AV20" i="1"/>
  <c r="D25" i="1"/>
  <c r="AO25" i="1" s="1"/>
  <c r="AL25" i="1" s="1"/>
  <c r="E25" i="1"/>
  <c r="AP25" i="1" s="1"/>
  <c r="AM25" i="1" s="1"/>
  <c r="V29" i="1"/>
  <c r="AU8" i="1"/>
  <c r="S17" i="1"/>
  <c r="P8" i="1"/>
  <c r="U17" i="1"/>
  <c r="AK28" i="1"/>
  <c r="Q20" i="1"/>
  <c r="AX7" i="1"/>
  <c r="BA7" i="1" s="1"/>
  <c r="AX23" i="1"/>
  <c r="BA23" i="1" s="1"/>
  <c r="U7" i="1"/>
  <c r="U11" i="1"/>
  <c r="E17" i="1"/>
  <c r="P20" i="1"/>
  <c r="AX25" i="1"/>
  <c r="BA25" i="1" s="1"/>
  <c r="AX11" i="1"/>
  <c r="BA11" i="1" s="1"/>
  <c r="S25" i="1"/>
  <c r="AW29" i="1"/>
  <c r="AX29" i="1" s="1"/>
  <c r="BA29" i="1" s="1"/>
  <c r="BC29" i="1" s="1"/>
  <c r="BF29" i="1" s="1"/>
  <c r="P14" i="1"/>
  <c r="U23" i="1"/>
  <c r="AX24" i="1"/>
  <c r="BA24" i="1" s="1"/>
  <c r="R20" i="1"/>
  <c r="AU20" i="1"/>
  <c r="S11" i="1"/>
  <c r="D8" i="1"/>
  <c r="AO8" i="1" s="1"/>
  <c r="AL8" i="1" s="1"/>
  <c r="W11" i="1"/>
  <c r="W23" i="1"/>
  <c r="D14" i="1"/>
  <c r="AO14" i="1" s="1"/>
  <c r="AL14" i="1" s="1"/>
  <c r="S23" i="1"/>
  <c r="S24" i="1"/>
  <c r="U24" i="1"/>
  <c r="D32" i="1"/>
  <c r="AO32" i="1" s="1"/>
  <c r="AL32" i="1" s="1"/>
  <c r="AX14" i="1" l="1"/>
  <c r="BA14" i="1" s="1"/>
  <c r="V8" i="1"/>
  <c r="S8" i="1"/>
  <c r="Y14" i="1"/>
  <c r="Y8" i="1"/>
  <c r="Y20" i="1"/>
  <c r="AX20" i="1"/>
  <c r="BA20" i="1" s="1"/>
  <c r="U8" i="1"/>
  <c r="U14" i="1"/>
  <c r="W20" i="1"/>
  <c r="S14" i="1"/>
  <c r="S20" i="1"/>
  <c r="AP17" i="1"/>
  <c r="AM17" i="1" s="1"/>
  <c r="W8" i="1"/>
  <c r="AX8" i="1"/>
  <c r="BA8" i="1" s="1"/>
  <c r="V20" i="1"/>
  <c r="U20" i="1"/>
</calcChain>
</file>

<file path=xl/sharedStrings.xml><?xml version="1.0" encoding="utf-8"?>
<sst xmlns="http://schemas.openxmlformats.org/spreadsheetml/2006/main" count="181" uniqueCount="101">
  <si>
    <t>303A ADU</t>
  </si>
  <si>
    <t>Meter Import Energy
(channel 1)</t>
  </si>
  <si>
    <t xml:space="preserve">Allocated Export Credits </t>
  </si>
  <si>
    <t>Net Energy Usage - After Solar Allocation</t>
  </si>
  <si>
    <t>PCE - Peninsula Clean Energy (Energy)</t>
  </si>
  <si>
    <t>PG&amp;E - Pacific Gas &amp; Electric (Delivery)</t>
  </si>
  <si>
    <t>Other</t>
  </si>
  <si>
    <t>PCE - Peninsula Clean Energy</t>
  </si>
  <si>
    <t>PG&amp;E - Pacific Gas &amp; Electric</t>
  </si>
  <si>
    <t>Which PDF to look at for data?</t>
  </si>
  <si>
    <t>Bill / Detail of Bill</t>
  </si>
  <si>
    <t>Bill</t>
  </si>
  <si>
    <t>n/a - calculated</t>
  </si>
  <si>
    <t>Detail of Bill</t>
  </si>
  <si>
    <t>n/a</t>
  </si>
  <si>
    <t>Detail of
Bill</t>
  </si>
  <si>
    <t>What page to look at?</t>
  </si>
  <si>
    <t>Generation Charges / Page 1</t>
  </si>
  <si>
    <t>Header</t>
  </si>
  <si>
    <t>Page 3</t>
  </si>
  <si>
    <t>Page 5</t>
  </si>
  <si>
    <t>Generation Charges / Page 6</t>
  </si>
  <si>
    <t>Page 6</t>
  </si>
  <si>
    <t>Generation Charges</t>
  </si>
  <si>
    <t>Page 4</t>
  </si>
  <si>
    <t>Page 1</t>
  </si>
  <si>
    <t>Delivery Charges / Page 4</t>
  </si>
  <si>
    <t>Delivery Charges</t>
  </si>
  <si>
    <t>Table header</t>
  </si>
  <si>
    <t>winter</t>
  </si>
  <si>
    <t>summer</t>
  </si>
  <si>
    <t>07 - earlier period</t>
  </si>
  <si>
    <t>07 - later period</t>
  </si>
  <si>
    <t xml:space="preserve">08 - old rates </t>
  </si>
  <si>
    <t>08 - new rates</t>
  </si>
  <si>
    <t>summer - old rate period</t>
  </si>
  <si>
    <t>summer - new rate period</t>
  </si>
  <si>
    <t>01 - earlier period</t>
  </si>
  <si>
    <t>02 - later period</t>
  </si>
  <si>
    <t>03 - old rates</t>
  </si>
  <si>
    <t>03 - new rates</t>
  </si>
  <si>
    <t>Dates</t>
  </si>
  <si>
    <t>303 Main</t>
  </si>
  <si>
    <t>Meter Export Energy (Solar) 
(channel 2)</t>
  </si>
  <si>
    <t xml:space="preserve">off peak [kWh]
(1) </t>
  </si>
  <si>
    <t>peak [kWh]
(2)</t>
  </si>
  <si>
    <t>total [kWh]
(15)</t>
  </si>
  <si>
    <t>off peak [kWh]
(3)</t>
  </si>
  <si>
    <t>peak [kWh]
(4)</t>
  </si>
  <si>
    <t>total [kWh]
(10)</t>
  </si>
  <si>
    <t>off peak [kWh]
(5)</t>
  </si>
  <si>
    <t>peak [kWh]
(6)</t>
  </si>
  <si>
    <t>total [kWh]
(14)</t>
  </si>
  <si>
    <t>off peak [kWh]
(23)</t>
  </si>
  <si>
    <t>peak
[kWh]
(22)</t>
  </si>
  <si>
    <t>total [kWh]   (7)</t>
  </si>
  <si>
    <t>PCE - Energy Cost Total
[$]</t>
  </si>
  <si>
    <t>PCE - peak energy
[$]
(34)</t>
  </si>
  <si>
    <t>PCE - off peak energy
[$]
(33)</t>
  </si>
  <si>
    <t>PCE - Net Generation Bonus
[$]
(37)</t>
  </si>
  <si>
    <t>PCE - Average Price Per kWh
[$]</t>
  </si>
  <si>
    <t>PCE - Peak Price Per kWh
[$]</t>
  </si>
  <si>
    <t>PCE - Off Peak Price Per kWh
[$]</t>
  </si>
  <si>
    <t>PCE - Total Energy Charges
[$]</t>
  </si>
  <si>
    <t>PCE NEM Credit 
[$]
(36)</t>
  </si>
  <si>
    <t>RES Energy Charges 
[$]
(31)</t>
  </si>
  <si>
    <t>Baseline Credit
[$]
(32)</t>
  </si>
  <si>
    <t>DA/CCA FEES
[$]
(38)</t>
  </si>
  <si>
    <t>PG&amp;E Total "Energy" Charges (ie. Delivery)
[$]
(39)</t>
  </si>
  <si>
    <t>PG&amp;E - NEM Billing
[$]
(40)</t>
  </si>
  <si>
    <t>Minimum Delivery Charge
[$]
(41)</t>
  </si>
  <si>
    <t>PG&amp;E Electric Delivery Charges
[$]
(30)</t>
  </si>
  <si>
    <t>Total Bill in Mail Monthly  [$]</t>
  </si>
  <si>
    <t>off peak
[kWh]</t>
  </si>
  <si>
    <t>peak
[kWh]</t>
  </si>
  <si>
    <t>total
[kWh]
(9)</t>
  </si>
  <si>
    <t>total [kWh]
(13)</t>
  </si>
  <si>
    <t>off peak [kWh]
(21)</t>
  </si>
  <si>
    <t>peak [kWh]
(20)</t>
  </si>
  <si>
    <t>total [kWh]
(8)</t>
  </si>
  <si>
    <t>PCE - peak cost 
[$]
(25)</t>
  </si>
  <si>
    <t>PCE - off peak cost [$]
(24)</t>
  </si>
  <si>
    <t>PCE - Net Generation Bonus
[$]
(26)</t>
  </si>
  <si>
    <t>Energy Commission Surcharge
[$]
(27)</t>
  </si>
  <si>
    <t>PCE NEM Credit
[$]
(28)</t>
  </si>
  <si>
    <t>PCE Generation Charges due in Cash 
[$]
(29)</t>
  </si>
  <si>
    <t>PG&amp;E Electric Delivery Charges [$]
(42)</t>
  </si>
  <si>
    <t>Total Bill in Mail Monthly
[$]</t>
  </si>
  <si>
    <t>Which Unit</t>
  </si>
  <si>
    <t>Table subheader</t>
  </si>
  <si>
    <t>Billing Date [Date]
(43)</t>
  </si>
  <si>
    <t>Allocated Export Credits</t>
  </si>
  <si>
    <t>Service End Date [Date]
(44)</t>
  </si>
  <si>
    <t>Bill (sometimes)</t>
  </si>
  <si>
    <t>California Climate Credit
[$] (45)</t>
  </si>
  <si>
    <t>California Climate Credit
[$] (46)</t>
  </si>
  <si>
    <t xml:space="preserve">allocation [%] </t>
  </si>
  <si>
    <t>Energy Commission Surcharge
[$]
(35)</t>
  </si>
  <si>
    <t>allocation 
[%]</t>
  </si>
  <si>
    <t>NEM True Up Adjustment
[$]
(80)</t>
  </si>
  <si>
    <t xml:space="preserve"> PCE Generation Charges due in Cash 
[$]
(81)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</si>
</sst>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 &quot;yyyy&quot;-&quot;mm&quot;-&quot;dd"/>
    <numFmt numFmtId="165" formatCode="0.0%"/>
    <numFmt numFmtId="166" formatCode="d/m/yyyy"/>
    <numFmt numFmtId="167" formatCode="0.0"/>
  </numFmts>
  <fonts count="10" x14ac:knownFonts="1">
    <font>
      <sz val="11"/>
      <color theme="1"/>
      <name val="Aptos Narrow"/>
      <scheme val="minor"/>
    </font>
    <font>
      <b/>
      <sz val="11"/>
      <color theme="0"/>
      <name val="Aptos Narrow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theme="1"/>
      <name val="Aptos Narrow"/>
    </font>
    <font>
      <sz val="11"/>
      <color theme="1"/>
      <name val="Arial"/>
      <family val="2"/>
    </font>
    <font>
      <sz val="11"/>
      <color theme="1"/>
      <name val="Aptos Narrow"/>
      <family val="2"/>
      <scheme val="major"/>
    </font>
    <font>
      <sz val="11"/>
      <color rgb="FFFFFFFF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1"/>
      <color theme="3"/>
      <name val="Aptos Narrow"/>
      <family val="2"/>
      <scheme val="major"/>
    </font>
  </fonts>
  <fills count="2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666666"/>
        <bgColor rgb="FF666666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45B0E1"/>
        <bgColor rgb="FF45B0E1"/>
      </patternFill>
    </fill>
    <fill>
      <patternFill patternType="solid">
        <fgColor rgb="FFD8D8D8"/>
        <bgColor rgb="FFD8D8D8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B3E5A1"/>
        <bgColor rgb="FFB3E5A1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rgb="FFD9F2D0"/>
      </patternFill>
    </fill>
    <fill>
      <patternFill patternType="solid">
        <fgColor theme="0" tint="-4.9989318521683403E-2"/>
        <bgColor rgb="FFF3F3F3"/>
      </patternFill>
    </fill>
    <fill>
      <patternFill patternType="solid">
        <fgColor theme="0" tint="-4.9989318521683403E-2"/>
        <bgColor rgb="FFD9F2D0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2" tint="-4.9989318521683403E-2"/>
        <bgColor rgb="FFF2F2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164" fontId="3" fillId="9" borderId="0" xfId="0" applyNumberFormat="1" applyFont="1" applyFill="1"/>
    <xf numFmtId="166" fontId="4" fillId="14" borderId="0" xfId="0" applyNumberFormat="1" applyFont="1" applyFill="1"/>
    <xf numFmtId="164" fontId="3" fillId="15" borderId="0" xfId="0" applyNumberFormat="1" applyFont="1" applyFill="1"/>
    <xf numFmtId="166" fontId="4" fillId="16" borderId="0" xfId="0" applyNumberFormat="1" applyFont="1" applyFill="1"/>
    <xf numFmtId="164" fontId="3" fillId="14" borderId="0" xfId="0" applyNumberFormat="1" applyFont="1" applyFill="1"/>
    <xf numFmtId="164" fontId="3" fillId="17" borderId="0" xfId="0" applyNumberFormat="1" applyFont="1" applyFill="1"/>
    <xf numFmtId="164" fontId="4" fillId="16" borderId="0" xfId="0" applyNumberFormat="1" applyFont="1" applyFill="1"/>
    <xf numFmtId="44" fontId="4" fillId="0" borderId="0" xfId="0" applyNumberFormat="1" applyFont="1"/>
    <xf numFmtId="44" fontId="3" fillId="0" borderId="0" xfId="0" applyNumberFormat="1" applyFont="1"/>
    <xf numFmtId="0" fontId="5" fillId="0" borderId="0" xfId="0" applyFont="1"/>
    <xf numFmtId="0" fontId="4" fillId="0" borderId="0" xfId="0" applyFont="1"/>
    <xf numFmtId="164" fontId="6" fillId="9" borderId="0" xfId="0" applyNumberFormat="1" applyFont="1" applyFill="1"/>
    <xf numFmtId="164" fontId="6" fillId="9" borderId="1" xfId="0" applyNumberFormat="1" applyFont="1" applyFill="1" applyBorder="1"/>
    <xf numFmtId="0" fontId="6" fillId="9" borderId="0" xfId="0" applyFont="1" applyFill="1"/>
    <xf numFmtId="165" fontId="6" fillId="9" borderId="0" xfId="0" applyNumberFormat="1" applyFont="1" applyFill="1"/>
    <xf numFmtId="44" fontId="6" fillId="9" borderId="0" xfId="0" applyNumberFormat="1" applyFont="1" applyFill="1"/>
    <xf numFmtId="44" fontId="6" fillId="10" borderId="0" xfId="0" applyNumberFormat="1" applyFont="1" applyFill="1"/>
    <xf numFmtId="44" fontId="6" fillId="6" borderId="0" xfId="0" applyNumberFormat="1" applyFont="1" applyFill="1"/>
    <xf numFmtId="44" fontId="6" fillId="11" borderId="0" xfId="0" applyNumberFormat="1" applyFont="1" applyFill="1"/>
    <xf numFmtId="44" fontId="6" fillId="12" borderId="0" xfId="0" applyNumberFormat="1" applyFont="1" applyFill="1"/>
    <xf numFmtId="44" fontId="6" fillId="13" borderId="0" xfId="0" applyNumberFormat="1" applyFont="1" applyFill="1"/>
    <xf numFmtId="166" fontId="6" fillId="14" borderId="0" xfId="0" applyNumberFormat="1" applyFont="1" applyFill="1"/>
    <xf numFmtId="166" fontId="6" fillId="14" borderId="1" xfId="0" applyNumberFormat="1" applyFont="1" applyFill="1" applyBorder="1"/>
    <xf numFmtId="0" fontId="6" fillId="14" borderId="0" xfId="0" applyFont="1" applyFill="1"/>
    <xf numFmtId="165" fontId="6" fillId="14" borderId="0" xfId="0" applyNumberFormat="1" applyFont="1" applyFill="1"/>
    <xf numFmtId="44" fontId="6" fillId="14" borderId="0" xfId="0" applyNumberFormat="1" applyFont="1" applyFill="1"/>
    <xf numFmtId="164" fontId="6" fillId="15" borderId="0" xfId="0" applyNumberFormat="1" applyFont="1" applyFill="1"/>
    <xf numFmtId="0" fontId="6" fillId="15" borderId="0" xfId="0" applyFont="1" applyFill="1"/>
    <xf numFmtId="165" fontId="6" fillId="15" borderId="0" xfId="0" applyNumberFormat="1" applyFont="1" applyFill="1"/>
    <xf numFmtId="1" fontId="6" fillId="15" borderId="0" xfId="0" applyNumberFormat="1" applyFont="1" applyFill="1"/>
    <xf numFmtId="44" fontId="6" fillId="15" borderId="0" xfId="0" applyNumberFormat="1" applyFont="1" applyFill="1"/>
    <xf numFmtId="1" fontId="6" fillId="9" borderId="0" xfId="0" applyNumberFormat="1" applyFont="1" applyFill="1"/>
    <xf numFmtId="167" fontId="6" fillId="9" borderId="0" xfId="0" applyNumberFormat="1" applyFont="1" applyFill="1"/>
    <xf numFmtId="166" fontId="6" fillId="16" borderId="0" xfId="0" applyNumberFormat="1" applyFont="1" applyFill="1"/>
    <xf numFmtId="0" fontId="6" fillId="16" borderId="0" xfId="0" applyFont="1" applyFill="1"/>
    <xf numFmtId="167" fontId="6" fillId="16" borderId="0" xfId="0" applyNumberFormat="1" applyFont="1" applyFill="1"/>
    <xf numFmtId="165" fontId="6" fillId="16" borderId="0" xfId="0" applyNumberFormat="1" applyFont="1" applyFill="1"/>
    <xf numFmtId="44" fontId="6" fillId="16" borderId="0" xfId="0" applyNumberFormat="1" applyFont="1" applyFill="1"/>
    <xf numFmtId="164" fontId="6" fillId="14" borderId="0" xfId="0" applyNumberFormat="1" applyFont="1" applyFill="1"/>
    <xf numFmtId="8" fontId="6" fillId="14" borderId="0" xfId="0" applyNumberFormat="1" applyFont="1" applyFill="1"/>
    <xf numFmtId="164" fontId="6" fillId="17" borderId="0" xfId="0" applyNumberFormat="1" applyFont="1" applyFill="1"/>
    <xf numFmtId="0" fontId="6" fillId="17" borderId="0" xfId="0" applyFont="1" applyFill="1"/>
    <xf numFmtId="165" fontId="6" fillId="17" borderId="0" xfId="0" applyNumberFormat="1" applyFont="1" applyFill="1"/>
    <xf numFmtId="44" fontId="6" fillId="17" borderId="0" xfId="0" applyNumberFormat="1" applyFont="1" applyFill="1"/>
    <xf numFmtId="8" fontId="6" fillId="17" borderId="0" xfId="0" applyNumberFormat="1" applyFont="1" applyFill="1"/>
    <xf numFmtId="8" fontId="6" fillId="9" borderId="0" xfId="0" applyNumberFormat="1" applyFont="1" applyFill="1"/>
    <xf numFmtId="8" fontId="6" fillId="15" borderId="0" xfId="0" applyNumberFormat="1" applyFont="1" applyFill="1"/>
    <xf numFmtId="0" fontId="6" fillId="9" borderId="0" xfId="0" applyFont="1" applyFill="1" applyAlignment="1">
      <alignment horizontal="right"/>
    </xf>
    <xf numFmtId="164" fontId="6" fillId="16" borderId="0" xfId="0" applyNumberFormat="1" applyFont="1" applyFill="1"/>
    <xf numFmtId="0" fontId="6" fillId="8" borderId="0" xfId="0" applyFont="1" applyFill="1" applyAlignment="1">
      <alignment wrapText="1"/>
    </xf>
    <xf numFmtId="0" fontId="7" fillId="7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44" fontId="6" fillId="18" borderId="0" xfId="0" applyNumberFormat="1" applyFont="1" applyFill="1"/>
    <xf numFmtId="0" fontId="6" fillId="19" borderId="0" xfId="0" applyFont="1" applyFill="1"/>
    <xf numFmtId="0" fontId="6" fillId="18" borderId="0" xfId="0" applyFont="1" applyFill="1"/>
    <xf numFmtId="44" fontId="6" fillId="20" borderId="0" xfId="0" applyNumberFormat="1" applyFont="1" applyFill="1"/>
    <xf numFmtId="0" fontId="6" fillId="21" borderId="0" xfId="0" applyFont="1" applyFill="1"/>
    <xf numFmtId="0" fontId="6" fillId="20" borderId="0" xfId="0" applyFont="1" applyFill="1"/>
    <xf numFmtId="44" fontId="6" fillId="22" borderId="0" xfId="0" applyNumberFormat="1" applyFont="1" applyFill="1"/>
    <xf numFmtId="167" fontId="6" fillId="21" borderId="0" xfId="0" applyNumberFormat="1" applyFont="1" applyFill="1"/>
    <xf numFmtId="0" fontId="6" fillId="23" borderId="0" xfId="0" applyFont="1" applyFill="1"/>
    <xf numFmtId="0" fontId="8" fillId="16" borderId="0" xfId="0" applyFont="1" applyFill="1"/>
    <xf numFmtId="167" fontId="0" fillId="0" borderId="0" xfId="0" applyNumberFormat="1"/>
    <xf numFmtId="0" fontId="9" fillId="14" borderId="0" xfId="0" applyFont="1" applyFill="1"/>
    <xf numFmtId="0" fontId="9" fillId="9" borderId="0" xfId="0" applyFont="1" applyFill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 wrapText="1"/>
    </xf>
    <xf numFmtId="0" fontId="6" fillId="0" borderId="0" xfId="0" applyFont="1"/>
    <xf numFmtId="0" fontId="6" fillId="6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10"/>
  <sheetViews>
    <sheetView tabSelected="1" zoomScaleNormal="90" workbookViewId="0">
      <pane xSplit="3" topLeftCell="U1" activePane="topRight" state="frozen"/>
      <selection pane="topRight" activeCell="AR16" sqref="AR16"/>
    </sheetView>
  </sheetViews>
  <sheetFormatPr baseColWidth="10" defaultColWidth="12.6640625" defaultRowHeight="15" customHeight="1" x14ac:dyDescent="0.2"/>
  <cols>
    <col min="1" max="1" width="11.33203125" bestFit="1" customWidth="1"/>
    <col min="2" max="3" width="13" customWidth="1"/>
    <col min="4" max="5" width="8.6640625" customWidth="1"/>
    <col min="6" max="6" width="7.83203125" customWidth="1"/>
    <col min="7" max="12" width="8.6640625" customWidth="1"/>
    <col min="13" max="13" width="11.6640625" customWidth="1"/>
    <col min="14" max="14" width="10.83203125" customWidth="1"/>
    <col min="15" max="15" width="11" customWidth="1"/>
    <col min="16" max="16" width="8.6640625" customWidth="1"/>
    <col min="17" max="17" width="10.83203125" customWidth="1"/>
    <col min="18" max="19" width="10.5" customWidth="1"/>
    <col min="20" max="25" width="10" customWidth="1"/>
    <col min="26" max="26" width="11.1640625" customWidth="1"/>
    <col min="27" max="27" width="13.33203125" customWidth="1"/>
    <col min="28" max="28" width="10.83203125" customWidth="1"/>
    <col min="29" max="30" width="8.83203125" customWidth="1"/>
    <col min="31" max="31" width="13.83203125" customWidth="1"/>
    <col min="32" max="32" width="8.83203125" customWidth="1"/>
    <col min="33" max="33" width="10.5" customWidth="1"/>
    <col min="34" max="34" width="11" customWidth="1"/>
    <col min="35" max="35" width="13.1640625" customWidth="1"/>
    <col min="36" max="37" width="8.83203125" customWidth="1"/>
    <col min="38" max="39" width="8.6640625" customWidth="1"/>
    <col min="40" max="40" width="9.83203125" customWidth="1"/>
    <col min="41" max="42" width="8.6640625" customWidth="1"/>
    <col min="43" max="43" width="8.83203125" customWidth="1"/>
    <col min="44" max="45" width="10.6640625" customWidth="1"/>
    <col min="46" max="46" width="10.83203125" customWidth="1"/>
    <col min="47" max="47" width="8.6640625" customWidth="1"/>
    <col min="48" max="48" width="11" customWidth="1"/>
    <col min="49" max="50" width="10.6640625" customWidth="1"/>
    <col min="51" max="51" width="11.1640625" customWidth="1"/>
    <col min="52" max="52" width="12.83203125" customWidth="1"/>
    <col min="53" max="53" width="8.6640625" customWidth="1"/>
    <col min="54" max="55" width="11.1640625" customWidth="1"/>
    <col min="56" max="56" width="12.6640625" customWidth="1"/>
    <col min="57" max="57" width="10.83203125" customWidth="1"/>
    <col min="58" max="58" width="8.6640625" customWidth="1"/>
  </cols>
  <sheetData>
    <row r="1" spans="1:58" ht="14.25" customHeight="1" x14ac:dyDescent="0.2"/>
    <row r="2" spans="1:58" ht="14.25" customHeight="1" x14ac:dyDescent="0.2">
      <c r="A2" t="s">
        <v>88</v>
      </c>
      <c r="B2" s="69" t="s">
        <v>41</v>
      </c>
      <c r="C2" s="69"/>
      <c r="D2" s="70" t="s">
        <v>42</v>
      </c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1" t="s">
        <v>0</v>
      </c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</row>
    <row r="3" spans="1:58" ht="32" x14ac:dyDescent="0.2">
      <c r="A3" t="s">
        <v>28</v>
      </c>
      <c r="B3" s="69" t="s">
        <v>41</v>
      </c>
      <c r="C3" s="69"/>
      <c r="D3" s="75" t="s">
        <v>43</v>
      </c>
      <c r="E3" s="73"/>
      <c r="F3" s="73"/>
      <c r="G3" s="72" t="s">
        <v>1</v>
      </c>
      <c r="H3" s="73"/>
      <c r="I3" s="73"/>
      <c r="J3" s="72" t="s">
        <v>91</v>
      </c>
      <c r="K3" s="73"/>
      <c r="L3" s="73"/>
      <c r="M3" s="73"/>
      <c r="N3" s="72" t="s">
        <v>3</v>
      </c>
      <c r="O3" s="73"/>
      <c r="P3" s="73"/>
      <c r="Q3" s="74" t="s">
        <v>4</v>
      </c>
      <c r="R3" s="73"/>
      <c r="S3" s="73"/>
      <c r="T3" s="73"/>
      <c r="U3" s="73"/>
      <c r="V3" s="73"/>
      <c r="W3" s="73"/>
      <c r="X3" s="73"/>
      <c r="Y3" s="73"/>
      <c r="Z3" s="73"/>
      <c r="AA3" s="73"/>
      <c r="AB3" s="72" t="s">
        <v>5</v>
      </c>
      <c r="AC3" s="73"/>
      <c r="AD3" s="73"/>
      <c r="AE3" s="73"/>
      <c r="AF3" s="73"/>
      <c r="AG3" s="73"/>
      <c r="AH3" s="73"/>
      <c r="AI3" s="73"/>
      <c r="AJ3" s="54" t="s">
        <v>6</v>
      </c>
      <c r="AK3" s="55"/>
      <c r="AL3" s="72" t="s">
        <v>1</v>
      </c>
      <c r="AM3" s="73"/>
      <c r="AN3" s="73"/>
      <c r="AO3" s="72" t="s">
        <v>2</v>
      </c>
      <c r="AP3" s="73"/>
      <c r="AQ3" s="73"/>
      <c r="AR3" s="73"/>
      <c r="AS3" s="72" t="s">
        <v>3</v>
      </c>
      <c r="AT3" s="73"/>
      <c r="AU3" s="73"/>
      <c r="AV3" s="74" t="s">
        <v>7</v>
      </c>
      <c r="AW3" s="73"/>
      <c r="AX3" s="73"/>
      <c r="AY3" s="73"/>
      <c r="AZ3" s="73"/>
      <c r="BA3" s="73"/>
      <c r="BB3" s="73"/>
      <c r="BC3" s="73"/>
      <c r="BD3" s="54" t="s">
        <v>8</v>
      </c>
      <c r="BE3" s="54" t="s">
        <v>6</v>
      </c>
      <c r="BF3" s="1"/>
    </row>
    <row r="4" spans="1:58" ht="48" x14ac:dyDescent="0.2">
      <c r="A4" s="51" t="s">
        <v>9</v>
      </c>
      <c r="B4" s="51" t="s">
        <v>10</v>
      </c>
      <c r="C4" s="51" t="s">
        <v>11</v>
      </c>
      <c r="D4" s="51" t="s">
        <v>12</v>
      </c>
      <c r="E4" s="51" t="s">
        <v>12</v>
      </c>
      <c r="F4" s="51" t="s">
        <v>13</v>
      </c>
      <c r="G4" s="51" t="s">
        <v>13</v>
      </c>
      <c r="H4" s="51" t="s">
        <v>13</v>
      </c>
      <c r="I4" s="51" t="s">
        <v>13</v>
      </c>
      <c r="J4" s="51" t="s">
        <v>13</v>
      </c>
      <c r="K4" s="51" t="s">
        <v>13</v>
      </c>
      <c r="L4" s="51" t="s">
        <v>13</v>
      </c>
      <c r="M4" s="51" t="s">
        <v>12</v>
      </c>
      <c r="N4" s="51" t="s">
        <v>10</v>
      </c>
      <c r="O4" s="51" t="s">
        <v>10</v>
      </c>
      <c r="P4" s="51" t="s">
        <v>13</v>
      </c>
      <c r="Q4" s="51" t="s">
        <v>11</v>
      </c>
      <c r="R4" s="51" t="s">
        <v>11</v>
      </c>
      <c r="S4" s="51" t="s">
        <v>12</v>
      </c>
      <c r="T4" s="51" t="s">
        <v>11</v>
      </c>
      <c r="U4" s="51"/>
      <c r="V4" s="51"/>
      <c r="W4" s="51"/>
      <c r="X4" s="51" t="s">
        <v>11</v>
      </c>
      <c r="Y4" s="51" t="s">
        <v>14</v>
      </c>
      <c r="Z4" s="51" t="s">
        <v>11</v>
      </c>
      <c r="AA4" s="51" t="s">
        <v>11</v>
      </c>
      <c r="AB4" s="51" t="s">
        <v>13</v>
      </c>
      <c r="AC4" s="51" t="s">
        <v>13</v>
      </c>
      <c r="AD4" s="51" t="s">
        <v>13</v>
      </c>
      <c r="AE4" s="51" t="s">
        <v>13</v>
      </c>
      <c r="AF4" s="51" t="s">
        <v>13</v>
      </c>
      <c r="AG4" s="51" t="s">
        <v>13</v>
      </c>
      <c r="AH4" s="51" t="s">
        <v>15</v>
      </c>
      <c r="AI4" s="51" t="s">
        <v>10</v>
      </c>
      <c r="AJ4" s="51" t="s">
        <v>93</v>
      </c>
      <c r="AK4" s="52"/>
      <c r="AL4" s="51"/>
      <c r="AM4" s="51"/>
      <c r="AN4" s="51" t="s">
        <v>13</v>
      </c>
      <c r="AO4" s="51"/>
      <c r="AP4" s="51"/>
      <c r="AQ4" s="51" t="s">
        <v>13</v>
      </c>
      <c r="AR4" s="51"/>
      <c r="AS4" s="51" t="s">
        <v>11</v>
      </c>
      <c r="AT4" s="51" t="s">
        <v>11</v>
      </c>
      <c r="AU4" s="51" t="s">
        <v>13</v>
      </c>
      <c r="AV4" s="51" t="s">
        <v>11</v>
      </c>
      <c r="AW4" s="51" t="s">
        <v>11</v>
      </c>
      <c r="AX4" s="51"/>
      <c r="AY4" s="51" t="s">
        <v>11</v>
      </c>
      <c r="AZ4" s="51" t="s">
        <v>11</v>
      </c>
      <c r="BA4" s="51"/>
      <c r="BB4" s="51" t="s">
        <v>11</v>
      </c>
      <c r="BC4" s="51" t="s">
        <v>11</v>
      </c>
      <c r="BD4" s="51" t="s">
        <v>11</v>
      </c>
      <c r="BE4" s="51" t="s">
        <v>93</v>
      </c>
      <c r="BF4" s="53"/>
    </row>
    <row r="5" spans="1:58" ht="48" x14ac:dyDescent="0.2">
      <c r="A5" s="51" t="s">
        <v>16</v>
      </c>
      <c r="B5" s="51" t="s">
        <v>17</v>
      </c>
      <c r="C5" s="51" t="s">
        <v>18</v>
      </c>
      <c r="D5" s="51"/>
      <c r="E5" s="51"/>
      <c r="F5" s="51" t="s">
        <v>19</v>
      </c>
      <c r="G5" s="51" t="s">
        <v>20</v>
      </c>
      <c r="H5" s="51" t="s">
        <v>20</v>
      </c>
      <c r="I5" s="51" t="s">
        <v>19</v>
      </c>
      <c r="J5" s="51" t="s">
        <v>20</v>
      </c>
      <c r="K5" s="51" t="s">
        <v>20</v>
      </c>
      <c r="L5" s="51" t="s">
        <v>19</v>
      </c>
      <c r="M5" s="51"/>
      <c r="N5" s="51" t="s">
        <v>21</v>
      </c>
      <c r="O5" s="51" t="s">
        <v>21</v>
      </c>
      <c r="P5" s="51" t="s">
        <v>22</v>
      </c>
      <c r="Q5" s="51" t="s">
        <v>23</v>
      </c>
      <c r="R5" s="51" t="s">
        <v>23</v>
      </c>
      <c r="S5" s="51"/>
      <c r="T5" s="51" t="s">
        <v>23</v>
      </c>
      <c r="U5" s="51"/>
      <c r="V5" s="51"/>
      <c r="W5" s="51"/>
      <c r="X5" s="51" t="s">
        <v>23</v>
      </c>
      <c r="Y5" s="51" t="s">
        <v>14</v>
      </c>
      <c r="Z5" s="51" t="s">
        <v>23</v>
      </c>
      <c r="AA5" s="51" t="s">
        <v>23</v>
      </c>
      <c r="AB5" s="51" t="s">
        <v>24</v>
      </c>
      <c r="AC5" s="51" t="s">
        <v>24</v>
      </c>
      <c r="AD5" s="51" t="s">
        <v>24</v>
      </c>
      <c r="AE5" s="51" t="s">
        <v>24</v>
      </c>
      <c r="AF5" s="51" t="s">
        <v>24</v>
      </c>
      <c r="AG5" s="51" t="s">
        <v>24</v>
      </c>
      <c r="AH5" s="51" t="s">
        <v>25</v>
      </c>
      <c r="AI5" s="51" t="s">
        <v>26</v>
      </c>
      <c r="AJ5" s="51" t="s">
        <v>27</v>
      </c>
      <c r="AK5" s="52"/>
      <c r="AL5" s="51"/>
      <c r="AM5" s="51"/>
      <c r="AN5" s="51" t="s">
        <v>19</v>
      </c>
      <c r="AO5" s="51"/>
      <c r="AP5" s="51"/>
      <c r="AQ5" s="51" t="s">
        <v>19</v>
      </c>
      <c r="AR5" s="51"/>
      <c r="AS5" s="51" t="s">
        <v>23</v>
      </c>
      <c r="AT5" s="51" t="s">
        <v>23</v>
      </c>
      <c r="AU5" s="51" t="s">
        <v>19</v>
      </c>
      <c r="AV5" s="51" t="s">
        <v>23</v>
      </c>
      <c r="AW5" s="51" t="s">
        <v>23</v>
      </c>
      <c r="AX5" s="51"/>
      <c r="AY5" s="51" t="s">
        <v>23</v>
      </c>
      <c r="AZ5" s="51" t="s">
        <v>23</v>
      </c>
      <c r="BA5" s="51"/>
      <c r="BB5" s="51" t="s">
        <v>23</v>
      </c>
      <c r="BC5" s="51" t="s">
        <v>23</v>
      </c>
      <c r="BD5" s="51" t="s">
        <v>27</v>
      </c>
      <c r="BE5" s="51" t="s">
        <v>27</v>
      </c>
      <c r="BF5" s="53"/>
    </row>
    <row r="6" spans="1:58" ht="96" x14ac:dyDescent="0.2">
      <c r="A6" s="51" t="s">
        <v>89</v>
      </c>
      <c r="B6" s="51" t="s">
        <v>92</v>
      </c>
      <c r="C6" s="51" t="s">
        <v>90</v>
      </c>
      <c r="D6" s="51" t="s">
        <v>44</v>
      </c>
      <c r="E6" s="51" t="s">
        <v>45</v>
      </c>
      <c r="F6" s="51" t="s">
        <v>46</v>
      </c>
      <c r="G6" s="51" t="s">
        <v>47</v>
      </c>
      <c r="H6" s="51" t="s">
        <v>48</v>
      </c>
      <c r="I6" s="51" t="s">
        <v>49</v>
      </c>
      <c r="J6" s="51" t="s">
        <v>50</v>
      </c>
      <c r="K6" s="51" t="s">
        <v>51</v>
      </c>
      <c r="L6" s="51" t="s">
        <v>52</v>
      </c>
      <c r="M6" s="51" t="s">
        <v>96</v>
      </c>
      <c r="N6" s="51" t="s">
        <v>53</v>
      </c>
      <c r="O6" s="51" t="s">
        <v>54</v>
      </c>
      <c r="P6" s="51" t="s">
        <v>55</v>
      </c>
      <c r="Q6" s="51" t="s">
        <v>58</v>
      </c>
      <c r="R6" s="51" t="s">
        <v>57</v>
      </c>
      <c r="S6" s="51" t="s">
        <v>56</v>
      </c>
      <c r="T6" s="51" t="s">
        <v>59</v>
      </c>
      <c r="U6" s="51" t="s">
        <v>60</v>
      </c>
      <c r="V6" s="51" t="s">
        <v>61</v>
      </c>
      <c r="W6" s="51" t="s">
        <v>62</v>
      </c>
      <c r="X6" s="51" t="s">
        <v>97</v>
      </c>
      <c r="Y6" s="51" t="s">
        <v>63</v>
      </c>
      <c r="Z6" s="51" t="s">
        <v>64</v>
      </c>
      <c r="AA6" s="51" t="s">
        <v>100</v>
      </c>
      <c r="AB6" s="51" t="s">
        <v>65</v>
      </c>
      <c r="AC6" s="51" t="s">
        <v>66</v>
      </c>
      <c r="AD6" s="51" t="s">
        <v>67</v>
      </c>
      <c r="AE6" s="51" t="s">
        <v>68</v>
      </c>
      <c r="AF6" s="51" t="s">
        <v>69</v>
      </c>
      <c r="AG6" s="51" t="s">
        <v>70</v>
      </c>
      <c r="AH6" s="51" t="s">
        <v>99</v>
      </c>
      <c r="AI6" s="51" t="s">
        <v>71</v>
      </c>
      <c r="AJ6" s="51" t="s">
        <v>94</v>
      </c>
      <c r="AK6" s="52" t="s">
        <v>72</v>
      </c>
      <c r="AL6" s="51" t="s">
        <v>73</v>
      </c>
      <c r="AM6" s="51" t="s">
        <v>74</v>
      </c>
      <c r="AN6" s="51" t="s">
        <v>75</v>
      </c>
      <c r="AO6" s="51" t="s">
        <v>73</v>
      </c>
      <c r="AP6" s="51" t="s">
        <v>74</v>
      </c>
      <c r="AQ6" s="51" t="s">
        <v>76</v>
      </c>
      <c r="AR6" s="51" t="s">
        <v>98</v>
      </c>
      <c r="AS6" s="51" t="s">
        <v>77</v>
      </c>
      <c r="AT6" s="51" t="s">
        <v>78</v>
      </c>
      <c r="AU6" s="51" t="s">
        <v>79</v>
      </c>
      <c r="AV6" s="51" t="s">
        <v>81</v>
      </c>
      <c r="AW6" s="51" t="s">
        <v>80</v>
      </c>
      <c r="AX6" s="51" t="s">
        <v>56</v>
      </c>
      <c r="AY6" s="51" t="s">
        <v>82</v>
      </c>
      <c r="AZ6" s="51" t="s">
        <v>83</v>
      </c>
      <c r="BA6" s="51" t="s">
        <v>63</v>
      </c>
      <c r="BB6" s="51" t="s">
        <v>84</v>
      </c>
      <c r="BC6" s="51" t="s">
        <v>85</v>
      </c>
      <c r="BD6" s="51" t="s">
        <v>86</v>
      </c>
      <c r="BE6" s="51" t="s">
        <v>95</v>
      </c>
      <c r="BF6" s="53" t="s">
        <v>87</v>
      </c>
    </row>
    <row r="7" spans="1:58" ht="14.25" customHeight="1" x14ac:dyDescent="0.2">
      <c r="A7" s="2"/>
      <c r="B7" s="13">
        <v>45419</v>
      </c>
      <c r="C7" s="14">
        <v>45426</v>
      </c>
      <c r="D7" s="15">
        <f>ROUND(J7/M7,0)</f>
        <v>-884</v>
      </c>
      <c r="E7" s="15">
        <f t="shared" ref="E7" si="0">ROUND(K7/M7,0)</f>
        <v>-114</v>
      </c>
      <c r="F7" s="15">
        <v>-998</v>
      </c>
      <c r="G7" s="15">
        <v>294</v>
      </c>
      <c r="H7" s="15">
        <v>88</v>
      </c>
      <c r="I7" s="15">
        <v>382</v>
      </c>
      <c r="J7" s="15">
        <v>-435</v>
      </c>
      <c r="K7" s="15">
        <v>-56</v>
      </c>
      <c r="L7" s="15">
        <v>-491</v>
      </c>
      <c r="M7" s="16">
        <f>L7/F7</f>
        <v>0.49198396793587174</v>
      </c>
      <c r="N7" s="15">
        <v>-141</v>
      </c>
      <c r="O7" s="15">
        <v>32</v>
      </c>
      <c r="P7" s="15">
        <f>O7+N7</f>
        <v>-109</v>
      </c>
      <c r="Q7" s="17">
        <f>N7*0.12591</f>
        <v>-17.753309999999999</v>
      </c>
      <c r="R7" s="17">
        <f>O7*0.14969</f>
        <v>4.7900799999999997</v>
      </c>
      <c r="S7" s="17">
        <f>R7+Q7</f>
        <v>-12.963229999999999</v>
      </c>
      <c r="T7" s="17">
        <f>N7*0.01</f>
        <v>-1.41</v>
      </c>
      <c r="U7" s="18">
        <f t="shared" ref="U7:U8" si="1">(ABS(Q7)+ABS(R7))/(ABS(N7)+ABS(O7))</f>
        <v>0.130308612716763</v>
      </c>
      <c r="V7" s="19">
        <f t="shared" ref="V7:V8" si="2">ABS(R7)/ABS(O7)</f>
        <v>0.14968999999999999</v>
      </c>
      <c r="W7" s="19">
        <f t="shared" ref="W7:W8" si="3">Q7/N7</f>
        <v>0.12590999999999999</v>
      </c>
      <c r="X7" s="20">
        <v>0</v>
      </c>
      <c r="Y7" s="20">
        <f>Q7+R7+T7+X7</f>
        <v>-14.37323</v>
      </c>
      <c r="Z7" s="21">
        <v>24.37</v>
      </c>
      <c r="AA7" s="21">
        <v>0</v>
      </c>
      <c r="AB7" s="17">
        <v>-24.4</v>
      </c>
      <c r="AC7" s="17">
        <v>11.7</v>
      </c>
      <c r="AD7" s="17">
        <v>1.1100000000000001</v>
      </c>
      <c r="AE7" s="20">
        <f t="shared" ref="AE7:AE8" si="4">AD7+AC7+AB7</f>
        <v>-11.59</v>
      </c>
      <c r="AF7" s="17">
        <v>60</v>
      </c>
      <c r="AG7" s="17">
        <v>7.83</v>
      </c>
      <c r="AH7" s="17">
        <v>0</v>
      </c>
      <c r="AI7" s="17">
        <f>AF7+AG7+AH7</f>
        <v>67.83</v>
      </c>
      <c r="AJ7" s="15">
        <v>0</v>
      </c>
      <c r="AK7" s="22">
        <f>AA7+AI7+AJ7</f>
        <v>67.83</v>
      </c>
      <c r="AL7" s="15">
        <f>AS7-AO7</f>
        <v>298</v>
      </c>
      <c r="AM7" s="15">
        <f t="shared" ref="AM7" si="5">AT7-AP7</f>
        <v>97</v>
      </c>
      <c r="AN7" s="15">
        <v>395</v>
      </c>
      <c r="AO7" s="15">
        <f t="shared" ref="AO7:AP11" si="6">D7-J7</f>
        <v>-449</v>
      </c>
      <c r="AP7" s="15">
        <f t="shared" si="6"/>
        <v>-58</v>
      </c>
      <c r="AQ7" s="15">
        <v>-507</v>
      </c>
      <c r="AR7" s="16">
        <f>AQ7/F7</f>
        <v>0.50801603206412826</v>
      </c>
      <c r="AS7" s="15">
        <v>-151</v>
      </c>
      <c r="AT7" s="15">
        <v>39</v>
      </c>
      <c r="AU7" s="15">
        <f>AT7+AS7</f>
        <v>-112</v>
      </c>
      <c r="AV7" s="17">
        <f>AS7*0.12591</f>
        <v>-19.012409999999999</v>
      </c>
      <c r="AW7" s="17">
        <f>AT7*0.14969</f>
        <v>5.8379099999999999</v>
      </c>
      <c r="AX7" s="17">
        <f t="shared" ref="AX7:AX8" si="7">AW7+AV7</f>
        <v>-13.174499999999998</v>
      </c>
      <c r="AY7" s="17">
        <f>AS7*0.01</f>
        <v>-1.51</v>
      </c>
      <c r="AZ7" s="17">
        <v>0</v>
      </c>
      <c r="BA7" s="20">
        <f>AZ7+AY7+AX7</f>
        <v>-14.684499999999998</v>
      </c>
      <c r="BB7" s="21">
        <v>14.68</v>
      </c>
      <c r="BC7" s="21">
        <v>0</v>
      </c>
      <c r="BD7" s="20">
        <v>7.83</v>
      </c>
      <c r="BE7" s="17">
        <v>0</v>
      </c>
      <c r="BF7" s="22">
        <f>BD7+BC7+BE7</f>
        <v>7.83</v>
      </c>
    </row>
    <row r="8" spans="1:58" ht="14.25" customHeight="1" x14ac:dyDescent="0.2">
      <c r="A8" s="2"/>
      <c r="B8" s="13">
        <v>45449</v>
      </c>
      <c r="C8" s="14">
        <v>45456</v>
      </c>
      <c r="D8" s="15">
        <f t="shared" ref="D8" si="8">ROUND(J8/M8,0)</f>
        <v>-1411</v>
      </c>
      <c r="E8" s="15">
        <f>ROUND(K8/M8,0)</f>
        <v>-190</v>
      </c>
      <c r="F8" s="15">
        <v>-1601</v>
      </c>
      <c r="G8" s="15">
        <f t="shared" ref="G8:H8" si="9">G9+G10</f>
        <v>330</v>
      </c>
      <c r="H8" s="15">
        <f t="shared" si="9"/>
        <v>121</v>
      </c>
      <c r="I8" s="15">
        <v>451</v>
      </c>
      <c r="J8" s="15">
        <f>J9+J10</f>
        <v>-704</v>
      </c>
      <c r="K8" s="15">
        <f>K9+K10</f>
        <v>-95</v>
      </c>
      <c r="L8" s="15">
        <v>-799</v>
      </c>
      <c r="M8" s="16">
        <f>L8/F8</f>
        <v>0.49906308557151779</v>
      </c>
      <c r="N8" s="15">
        <f t="shared" ref="N8:R8" si="10">N9+N10</f>
        <v>-374</v>
      </c>
      <c r="O8" s="15">
        <f t="shared" si="10"/>
        <v>26</v>
      </c>
      <c r="P8" s="15">
        <f t="shared" si="10"/>
        <v>-348</v>
      </c>
      <c r="Q8" s="17">
        <f t="shared" si="10"/>
        <v>-47.806659999999994</v>
      </c>
      <c r="R8" s="17">
        <f t="shared" si="10"/>
        <v>3.8457699999999995</v>
      </c>
      <c r="S8" s="17">
        <f>R8+Q8</f>
        <v>-43.960889999999992</v>
      </c>
      <c r="T8" s="17">
        <f>(N9+N10+O10)*0.01</f>
        <v>-3.75</v>
      </c>
      <c r="U8" s="18">
        <f t="shared" si="1"/>
        <v>0.12913107499999998</v>
      </c>
      <c r="V8" s="19">
        <f t="shared" si="2"/>
        <v>0.14791423076923074</v>
      </c>
      <c r="W8" s="19">
        <f t="shared" si="3"/>
        <v>0.12782529411764704</v>
      </c>
      <c r="X8" s="20">
        <v>0</v>
      </c>
      <c r="Y8" s="20">
        <f>Q8+R8+T8+X8</f>
        <v>-47.710889999999992</v>
      </c>
      <c r="Z8" s="21">
        <v>72.08</v>
      </c>
      <c r="AA8" s="21">
        <v>0</v>
      </c>
      <c r="AB8" s="17">
        <v>-98.9</v>
      </c>
      <c r="AC8" s="17">
        <v>33.86</v>
      </c>
      <c r="AD8" s="17">
        <v>-1.43</v>
      </c>
      <c r="AE8" s="20">
        <f t="shared" si="4"/>
        <v>-66.47</v>
      </c>
      <c r="AF8" s="17">
        <v>10</v>
      </c>
      <c r="AG8" s="17">
        <v>11.75</v>
      </c>
      <c r="AH8" s="17">
        <v>0</v>
      </c>
      <c r="AI8" s="17">
        <f t="shared" ref="AI8" si="11">AF8+AG8+AH8</f>
        <v>21.75</v>
      </c>
      <c r="AJ8" s="15">
        <v>0</v>
      </c>
      <c r="AK8" s="22">
        <f>AA8+AI8+AJ8</f>
        <v>21.75</v>
      </c>
      <c r="AL8" s="15">
        <f t="shared" ref="AL8:AM8" si="12">AS8-AO8</f>
        <v>349</v>
      </c>
      <c r="AM8" s="15">
        <f t="shared" si="12"/>
        <v>102</v>
      </c>
      <c r="AN8" s="15">
        <v>451</v>
      </c>
      <c r="AO8" s="15">
        <f t="shared" si="6"/>
        <v>-707</v>
      </c>
      <c r="AP8" s="15">
        <f t="shared" si="6"/>
        <v>-95</v>
      </c>
      <c r="AQ8" s="15">
        <v>-802</v>
      </c>
      <c r="AR8" s="16">
        <f>AQ8/F8</f>
        <v>0.50093691442848221</v>
      </c>
      <c r="AS8" s="15">
        <f>AS9+AS10</f>
        <v>-358</v>
      </c>
      <c r="AT8" s="15">
        <f t="shared" ref="AT8:AW8" si="13">AT9+AT10</f>
        <v>7</v>
      </c>
      <c r="AU8" s="15">
        <f t="shared" si="13"/>
        <v>-351</v>
      </c>
      <c r="AV8" s="17">
        <f t="shared" si="13"/>
        <v>-45.9373</v>
      </c>
      <c r="AW8" s="17">
        <f t="shared" si="13"/>
        <v>0.77081</v>
      </c>
      <c r="AX8" s="17">
        <f t="shared" si="7"/>
        <v>-45.166490000000003</v>
      </c>
      <c r="AY8" s="17">
        <f>(AS10+AS9+AT10)*0.01</f>
        <v>-3.64</v>
      </c>
      <c r="AZ8" s="17">
        <v>0</v>
      </c>
      <c r="BA8" s="20">
        <f t="shared" ref="BA8" si="14">AZ8+AY8+AX8</f>
        <v>-48.806490000000004</v>
      </c>
      <c r="BB8" s="21">
        <v>63.49</v>
      </c>
      <c r="BC8" s="21">
        <v>0</v>
      </c>
      <c r="BD8" s="20">
        <v>11.75</v>
      </c>
      <c r="BE8" s="17">
        <v>0</v>
      </c>
      <c r="BF8" s="22">
        <f t="shared" ref="BF8" si="15">BD8+BC8+BE8</f>
        <v>11.75</v>
      </c>
    </row>
    <row r="9" spans="1:58" ht="14.25" customHeight="1" x14ac:dyDescent="0.2">
      <c r="A9" s="3"/>
      <c r="B9" s="23"/>
      <c r="C9" s="24" t="s">
        <v>29</v>
      </c>
      <c r="D9" s="25">
        <f>ROUND(J9/M8,0)</f>
        <v>-1148</v>
      </c>
      <c r="E9" s="25">
        <f>ROUND(K9/M8,0)</f>
        <v>-154</v>
      </c>
      <c r="F9" s="25"/>
      <c r="G9" s="25">
        <v>273</v>
      </c>
      <c r="H9" s="25">
        <v>104</v>
      </c>
      <c r="I9" s="25"/>
      <c r="J9" s="25">
        <v>-573</v>
      </c>
      <c r="K9" s="25">
        <v>-77</v>
      </c>
      <c r="L9" s="25"/>
      <c r="M9" s="26"/>
      <c r="N9" s="25">
        <v>-300</v>
      </c>
      <c r="O9" s="25">
        <v>27</v>
      </c>
      <c r="P9" s="25">
        <f t="shared" ref="P9:P11" si="16">O9+N9</f>
        <v>-273</v>
      </c>
      <c r="Q9" s="27">
        <f>N9*0.12591</f>
        <v>-37.772999999999996</v>
      </c>
      <c r="R9" s="27">
        <f>O9*0.14969</f>
        <v>4.0416299999999996</v>
      </c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56"/>
      <c r="AK9" s="56"/>
      <c r="AL9" s="57">
        <f>AS9-AO9</f>
        <v>306</v>
      </c>
      <c r="AM9" s="57">
        <f>AT9-AP9</f>
        <v>90</v>
      </c>
      <c r="AN9" s="58"/>
      <c r="AO9" s="58">
        <f t="shared" si="6"/>
        <v>-575</v>
      </c>
      <c r="AP9" s="58">
        <f t="shared" si="6"/>
        <v>-77</v>
      </c>
      <c r="AQ9" s="25"/>
      <c r="AR9" s="25"/>
      <c r="AS9" s="25">
        <v>-269</v>
      </c>
      <c r="AT9" s="25">
        <v>13</v>
      </c>
      <c r="AU9" s="25">
        <f t="shared" ref="AU9:AU11" si="17">AT9+AS9</f>
        <v>-256</v>
      </c>
      <c r="AV9" s="27">
        <f>AS9*0.12591</f>
        <v>-33.869790000000002</v>
      </c>
      <c r="AW9" s="27">
        <f>AT9*0.14969</f>
        <v>1.94597</v>
      </c>
      <c r="AX9" s="27"/>
      <c r="AY9" s="27"/>
      <c r="AZ9" s="27"/>
      <c r="BA9" s="27"/>
      <c r="BB9" s="27"/>
      <c r="BC9" s="27"/>
      <c r="BD9" s="27"/>
      <c r="BE9" s="27"/>
      <c r="BF9" s="27"/>
    </row>
    <row r="10" spans="1:58" ht="14.25" customHeight="1" x14ac:dyDescent="0.2">
      <c r="A10" s="3"/>
      <c r="B10" s="23"/>
      <c r="C10" s="24" t="s">
        <v>30</v>
      </c>
      <c r="D10" s="25">
        <f>ROUND(J10/M8,0)</f>
        <v>-262</v>
      </c>
      <c r="E10" s="25">
        <f>ROUND(K10/M8,0)</f>
        <v>-36</v>
      </c>
      <c r="F10" s="25"/>
      <c r="G10" s="25">
        <v>57</v>
      </c>
      <c r="H10" s="25">
        <v>17</v>
      </c>
      <c r="I10" s="25"/>
      <c r="J10" s="25">
        <v>-131</v>
      </c>
      <c r="K10" s="25">
        <v>-18</v>
      </c>
      <c r="L10" s="25"/>
      <c r="M10" s="26"/>
      <c r="N10" s="25">
        <v>-74</v>
      </c>
      <c r="O10" s="25">
        <v>-1</v>
      </c>
      <c r="P10" s="25">
        <f t="shared" si="16"/>
        <v>-75</v>
      </c>
      <c r="Q10" s="27">
        <f t="shared" ref="Q10:Q11" si="18">N10*0.13559</f>
        <v>-10.033659999999999</v>
      </c>
      <c r="R10" s="27">
        <f t="shared" ref="R10:R11" si="19">O10*0.19586</f>
        <v>-0.19586000000000001</v>
      </c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56"/>
      <c r="AK10" s="56"/>
      <c r="AL10" s="57">
        <f>AS10-AO10</f>
        <v>42</v>
      </c>
      <c r="AM10" s="57">
        <f>AT10-AP10</f>
        <v>12</v>
      </c>
      <c r="AN10" s="58"/>
      <c r="AO10" s="58">
        <f t="shared" si="6"/>
        <v>-131</v>
      </c>
      <c r="AP10" s="58">
        <f t="shared" si="6"/>
        <v>-18</v>
      </c>
      <c r="AQ10" s="25"/>
      <c r="AR10" s="25"/>
      <c r="AS10" s="25">
        <v>-89</v>
      </c>
      <c r="AT10" s="25">
        <v>-6</v>
      </c>
      <c r="AU10" s="25">
        <f t="shared" si="17"/>
        <v>-95</v>
      </c>
      <c r="AV10" s="27">
        <f t="shared" ref="AV10:AV11" si="20">AS10*0.13559</f>
        <v>-12.067509999999999</v>
      </c>
      <c r="AW10" s="27">
        <f t="shared" ref="AW10:AW11" si="21">AT10*0.19586</f>
        <v>-1.17516</v>
      </c>
      <c r="AX10" s="27"/>
      <c r="AY10" s="27"/>
      <c r="AZ10" s="27"/>
      <c r="BA10" s="27"/>
      <c r="BB10" s="27"/>
      <c r="BC10" s="27"/>
      <c r="BD10" s="27"/>
      <c r="BE10" s="27"/>
      <c r="BF10" s="27"/>
    </row>
    <row r="11" spans="1:58" ht="14.25" customHeight="1" x14ac:dyDescent="0.2">
      <c r="A11" s="2"/>
      <c r="B11" s="13">
        <v>45481</v>
      </c>
      <c r="C11" s="13">
        <v>45488</v>
      </c>
      <c r="D11" s="15">
        <f>ROUND(J11/M11,0)</f>
        <v>-1547</v>
      </c>
      <c r="E11" s="15">
        <f>ROUND(K11/M11,0)</f>
        <v>-203</v>
      </c>
      <c r="F11" s="15">
        <v>-1750</v>
      </c>
      <c r="G11" s="15">
        <f t="shared" ref="G11:H11" si="22">G12+G13</f>
        <v>393</v>
      </c>
      <c r="H11" s="15">
        <f t="shared" si="22"/>
        <v>250</v>
      </c>
      <c r="I11" s="15">
        <v>643</v>
      </c>
      <c r="J11" s="15">
        <f>J12+J13</f>
        <v>-1001</v>
      </c>
      <c r="K11" s="15">
        <f t="shared" ref="K11" si="23">K12+K13</f>
        <v>-131</v>
      </c>
      <c r="L11" s="15">
        <v>-1132</v>
      </c>
      <c r="M11" s="16">
        <f>L11/F11</f>
        <v>0.64685714285714291</v>
      </c>
      <c r="N11" s="15">
        <v>-608</v>
      </c>
      <c r="O11" s="15">
        <v>119</v>
      </c>
      <c r="P11" s="15">
        <f t="shared" si="16"/>
        <v>-489</v>
      </c>
      <c r="Q11" s="17">
        <f t="shared" si="18"/>
        <v>-82.438719999999989</v>
      </c>
      <c r="R11" s="17">
        <f t="shared" si="19"/>
        <v>23.30734</v>
      </c>
      <c r="S11" s="17">
        <f>R11+Q11</f>
        <v>-59.131379999999993</v>
      </c>
      <c r="T11" s="17">
        <f>N11*0.01</f>
        <v>-6.08</v>
      </c>
      <c r="U11" s="18">
        <f>(ABS(Q11)+ABS(R11))/(ABS(N11)+ABS(O11))</f>
        <v>0.14545537826685004</v>
      </c>
      <c r="V11" s="19">
        <f>ABS(R11)/ABS(O11)</f>
        <v>0.19586000000000001</v>
      </c>
      <c r="W11" s="19">
        <f>Q11/N11</f>
        <v>0.13558999999999999</v>
      </c>
      <c r="X11" s="20">
        <v>0</v>
      </c>
      <c r="Y11" s="20">
        <f>Q11+R11+T11+X11</f>
        <v>-65.211379999999991</v>
      </c>
      <c r="Z11" s="21">
        <v>65.209999999999994</v>
      </c>
      <c r="AA11" s="21">
        <v>0</v>
      </c>
      <c r="AB11" s="17">
        <v>-148.91999999999999</v>
      </c>
      <c r="AC11" s="17">
        <v>23.84</v>
      </c>
      <c r="AD11" s="17">
        <v>-1.88</v>
      </c>
      <c r="AE11" s="20">
        <f>AD11+AC11+AB11</f>
        <v>-126.95999999999998</v>
      </c>
      <c r="AF11" s="17">
        <v>10</v>
      </c>
      <c r="AG11" s="17">
        <v>12.53</v>
      </c>
      <c r="AH11" s="17">
        <v>0</v>
      </c>
      <c r="AI11" s="17">
        <f>AF11+AG11+AH11</f>
        <v>22.53</v>
      </c>
      <c r="AJ11" s="15">
        <v>0</v>
      </c>
      <c r="AK11" s="22">
        <f>AA11+AI11+AJ11</f>
        <v>22.53</v>
      </c>
      <c r="AL11" s="15">
        <f t="shared" ref="AL11:AM11" si="24">AS11-AO11</f>
        <v>276</v>
      </c>
      <c r="AM11" s="15">
        <f t="shared" si="24"/>
        <v>53</v>
      </c>
      <c r="AN11" s="15">
        <v>329</v>
      </c>
      <c r="AO11" s="15">
        <f t="shared" si="6"/>
        <v>-546</v>
      </c>
      <c r="AP11" s="15">
        <f t="shared" si="6"/>
        <v>-72</v>
      </c>
      <c r="AQ11" s="15">
        <v>-618</v>
      </c>
      <c r="AR11" s="16">
        <f>AQ11/F11</f>
        <v>0.35314285714285715</v>
      </c>
      <c r="AS11" s="15">
        <v>-270</v>
      </c>
      <c r="AT11" s="15">
        <v>-19</v>
      </c>
      <c r="AU11" s="15">
        <f t="shared" si="17"/>
        <v>-289</v>
      </c>
      <c r="AV11" s="17">
        <f t="shared" si="20"/>
        <v>-36.609299999999998</v>
      </c>
      <c r="AW11" s="17">
        <f t="shared" si="21"/>
        <v>-3.7213400000000001</v>
      </c>
      <c r="AX11" s="17">
        <f>AW11+AV11</f>
        <v>-40.330639999999995</v>
      </c>
      <c r="AY11" s="17">
        <f>AU11*0.01</f>
        <v>-2.89</v>
      </c>
      <c r="AZ11" s="17">
        <v>0</v>
      </c>
      <c r="BA11" s="20">
        <f>AZ11+AY11+AX11</f>
        <v>-43.220639999999996</v>
      </c>
      <c r="BB11" s="21">
        <v>106.71</v>
      </c>
      <c r="BC11" s="21">
        <v>0</v>
      </c>
      <c r="BD11" s="20">
        <v>12.53</v>
      </c>
      <c r="BE11" s="17">
        <v>0</v>
      </c>
      <c r="BF11" s="22">
        <f>BD11+BC11+BE11</f>
        <v>12.53</v>
      </c>
    </row>
    <row r="12" spans="1:58" ht="14.25" customHeight="1" x14ac:dyDescent="0.2">
      <c r="A12" s="4"/>
      <c r="B12" s="28"/>
      <c r="C12" s="29" t="s">
        <v>31</v>
      </c>
      <c r="D12" s="29">
        <f>ROUND(J12/M11,0)</f>
        <v>-1198</v>
      </c>
      <c r="E12" s="29">
        <f>ROUND(K12/M11,0)</f>
        <v>-169</v>
      </c>
      <c r="F12" s="29"/>
      <c r="G12" s="29">
        <v>279</v>
      </c>
      <c r="H12" s="29">
        <v>180</v>
      </c>
      <c r="I12" s="29"/>
      <c r="J12" s="29">
        <v>-775</v>
      </c>
      <c r="K12" s="29">
        <v>-109</v>
      </c>
      <c r="L12" s="29"/>
      <c r="M12" s="30"/>
      <c r="N12" s="31"/>
      <c r="O12" s="31"/>
      <c r="P12" s="29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59"/>
      <c r="AL12" s="60"/>
      <c r="AM12" s="60"/>
      <c r="AN12" s="61"/>
      <c r="AO12" s="60"/>
      <c r="AP12" s="60"/>
      <c r="AQ12" s="61"/>
      <c r="AR12" s="61"/>
      <c r="AS12" s="29"/>
      <c r="AT12" s="29"/>
      <c r="AU12" s="29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</row>
    <row r="13" spans="1:58" ht="14.25" customHeight="1" x14ac:dyDescent="0.2">
      <c r="A13" s="4"/>
      <c r="B13" s="28"/>
      <c r="C13" s="29" t="s">
        <v>32</v>
      </c>
      <c r="D13" s="29">
        <f>ROUND(J13/M11,0)</f>
        <v>-349</v>
      </c>
      <c r="E13" s="29">
        <f>ROUND(K13/M11,0)</f>
        <v>-34</v>
      </c>
      <c r="F13" s="29"/>
      <c r="G13" s="29">
        <v>114</v>
      </c>
      <c r="H13" s="29">
        <v>70</v>
      </c>
      <c r="I13" s="29"/>
      <c r="J13" s="29">
        <v>-226</v>
      </c>
      <c r="K13" s="29">
        <v>-22</v>
      </c>
      <c r="L13" s="29"/>
      <c r="M13" s="30"/>
      <c r="N13" s="31"/>
      <c r="O13" s="31"/>
      <c r="P13" s="29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59"/>
      <c r="AL13" s="60"/>
      <c r="AM13" s="60"/>
      <c r="AN13" s="61"/>
      <c r="AO13" s="60"/>
      <c r="AP13" s="60"/>
      <c r="AQ13" s="61"/>
      <c r="AR13" s="61"/>
      <c r="AS13" s="29"/>
      <c r="AT13" s="29"/>
      <c r="AU13" s="29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</row>
    <row r="14" spans="1:58" ht="14.25" customHeight="1" x14ac:dyDescent="0.2">
      <c r="A14" s="2"/>
      <c r="B14" s="13">
        <v>45510</v>
      </c>
      <c r="C14" s="13">
        <v>45520</v>
      </c>
      <c r="D14" s="15">
        <f>ROUND(J14/M14,0)</f>
        <v>-1214</v>
      </c>
      <c r="E14" s="15">
        <f>ROUND(K14/M14,0)</f>
        <v>-178</v>
      </c>
      <c r="F14" s="15">
        <v>-1392</v>
      </c>
      <c r="G14" s="15">
        <v>224</v>
      </c>
      <c r="H14" s="15">
        <v>158</v>
      </c>
      <c r="I14" s="15">
        <v>382</v>
      </c>
      <c r="J14" s="15">
        <v>-491</v>
      </c>
      <c r="K14" s="15">
        <v>-72</v>
      </c>
      <c r="L14" s="15">
        <v>-563</v>
      </c>
      <c r="M14" s="16">
        <f>L14/F14</f>
        <v>0.40445402298850575</v>
      </c>
      <c r="N14" s="33">
        <f t="shared" ref="N14:P14" si="25">N15+N16</f>
        <v>-267</v>
      </c>
      <c r="O14" s="33">
        <f t="shared" si="25"/>
        <v>86</v>
      </c>
      <c r="P14" s="34">
        <f t="shared" si="25"/>
        <v>-181</v>
      </c>
      <c r="Q14" s="17">
        <f t="shared" ref="Q14:R14" si="26">SUM(Q15:Q16)</f>
        <v>-35.405396597999996</v>
      </c>
      <c r="R14" s="17">
        <f t="shared" si="26"/>
        <v>16.917801365000003</v>
      </c>
      <c r="S14" s="17">
        <f>R14+Q14</f>
        <v>-18.487595232999993</v>
      </c>
      <c r="T14" s="17">
        <f>(N16+N15)*0.01</f>
        <v>-2.67</v>
      </c>
      <c r="U14" s="18">
        <f>(ABS(Q14)+ABS(R14))/(ABS(N14)+ABS(O14))</f>
        <v>0.14822435683569404</v>
      </c>
      <c r="V14" s="19">
        <f>ABS(R14)/ABS(O14)</f>
        <v>0.19671862052325584</v>
      </c>
      <c r="W14" s="19">
        <f>Q14/N14</f>
        <v>0.13260448164044941</v>
      </c>
      <c r="X14" s="20">
        <v>0</v>
      </c>
      <c r="Y14" s="20">
        <f>Q14+R14+T14+X14</f>
        <v>-21.157595232999995</v>
      </c>
      <c r="Z14" s="21">
        <v>158.44</v>
      </c>
      <c r="AA14" s="21">
        <v>0</v>
      </c>
      <c r="AB14" s="17">
        <v>-46.8</v>
      </c>
      <c r="AC14" s="17">
        <v>17.72</v>
      </c>
      <c r="AD14" s="17">
        <v>0.24</v>
      </c>
      <c r="AE14" s="20">
        <f>AD14+AC14+AB14</f>
        <v>-28.84</v>
      </c>
      <c r="AF14" s="17">
        <v>10</v>
      </c>
      <c r="AG14" s="17">
        <v>11.36</v>
      </c>
      <c r="AH14" s="17">
        <v>0</v>
      </c>
      <c r="AI14" s="17">
        <f>AF14+AG14+AH14</f>
        <v>21.36</v>
      </c>
      <c r="AJ14" s="15">
        <v>0</v>
      </c>
      <c r="AK14" s="22">
        <f>AA14+AI14+AJ14</f>
        <v>21.36</v>
      </c>
      <c r="AL14" s="15">
        <f t="shared" ref="AL14:AM14" si="27">AS14-AO14</f>
        <v>409</v>
      </c>
      <c r="AM14" s="15">
        <f t="shared" si="27"/>
        <v>132</v>
      </c>
      <c r="AN14" s="15">
        <v>541</v>
      </c>
      <c r="AO14" s="15">
        <f>D14-J14</f>
        <v>-723</v>
      </c>
      <c r="AP14" s="15">
        <f>E14-K14</f>
        <v>-106</v>
      </c>
      <c r="AQ14" s="15">
        <v>-829</v>
      </c>
      <c r="AR14" s="16">
        <f>AQ14/F14</f>
        <v>0.59554597701149425</v>
      </c>
      <c r="AS14" s="15">
        <f t="shared" ref="AS14:AU14" si="28">AS15+AS16</f>
        <v>-314</v>
      </c>
      <c r="AT14" s="15">
        <f t="shared" si="28"/>
        <v>26</v>
      </c>
      <c r="AU14" s="15">
        <f t="shared" si="28"/>
        <v>-288</v>
      </c>
      <c r="AV14" s="17">
        <f t="shared" ref="AV14:AW14" si="29">SUM(AV15:AV16)</f>
        <v>-41.637807834999997</v>
      </c>
      <c r="AW14" s="17">
        <f t="shared" si="29"/>
        <v>5.1146840949999994</v>
      </c>
      <c r="AX14" s="17">
        <f>AW14+AV14</f>
        <v>-36.523123739999996</v>
      </c>
      <c r="AY14" s="17">
        <f>(AS16+AS15)*0.01</f>
        <v>-3.14</v>
      </c>
      <c r="AZ14" s="17">
        <v>0</v>
      </c>
      <c r="BA14" s="20">
        <f>AZ14+AY14+AX14</f>
        <v>-39.663123739999996</v>
      </c>
      <c r="BB14" s="21">
        <v>146.37</v>
      </c>
      <c r="BC14" s="21">
        <v>0</v>
      </c>
      <c r="BD14" s="20">
        <v>11.36</v>
      </c>
      <c r="BE14" s="17">
        <v>0</v>
      </c>
      <c r="BF14" s="22">
        <f>BD14+BC14+BE14</f>
        <v>11.36</v>
      </c>
    </row>
    <row r="15" spans="1:58" ht="14.25" customHeight="1" x14ac:dyDescent="0.2">
      <c r="A15" s="5"/>
      <c r="B15" s="35"/>
      <c r="C15" s="36" t="s">
        <v>33</v>
      </c>
      <c r="D15" s="37"/>
      <c r="E15" s="37"/>
      <c r="F15" s="37"/>
      <c r="G15" s="37"/>
      <c r="H15" s="37"/>
      <c r="I15" s="37"/>
      <c r="J15" s="37"/>
      <c r="K15" s="37"/>
      <c r="L15" s="37"/>
      <c r="M15" s="38"/>
      <c r="N15" s="37">
        <v>-55.241399999999999</v>
      </c>
      <c r="O15" s="37">
        <v>68.206900000000005</v>
      </c>
      <c r="P15" s="37">
        <f>O15+N15</f>
        <v>12.965500000000006</v>
      </c>
      <c r="Q15" s="39">
        <f>N15*0.12116</f>
        <v>-6.6930480240000003</v>
      </c>
      <c r="R15" s="39">
        <f>O15*0.19586</f>
        <v>13.359003434000002</v>
      </c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62"/>
      <c r="AL15" s="63"/>
      <c r="AM15" s="63"/>
      <c r="AN15" s="62"/>
      <c r="AO15" s="63"/>
      <c r="AP15" s="62"/>
      <c r="AQ15" s="63"/>
      <c r="AR15" s="38"/>
      <c r="AS15" s="36">
        <v>-64.965500000000006</v>
      </c>
      <c r="AT15" s="36">
        <v>20.620699999999999</v>
      </c>
      <c r="AU15" s="36">
        <f t="shared" ref="AU15:AU17" si="30">AT15+AS15</f>
        <v>-44.344800000000006</v>
      </c>
      <c r="AV15" s="39">
        <f>AS15*0.12116</f>
        <v>-7.8712199800000011</v>
      </c>
      <c r="AW15" s="39">
        <f>AT15*0.19586</f>
        <v>4.0387703019999996</v>
      </c>
      <c r="AX15" s="39"/>
      <c r="AY15" s="39"/>
      <c r="AZ15" s="39"/>
      <c r="BA15" s="39"/>
      <c r="BB15" s="39"/>
      <c r="BC15" s="39"/>
      <c r="BD15" s="39"/>
      <c r="BE15" s="39"/>
      <c r="BF15" s="39"/>
    </row>
    <row r="16" spans="1:58" ht="14.25" customHeight="1" x14ac:dyDescent="0.2">
      <c r="A16" s="5"/>
      <c r="B16" s="35"/>
      <c r="C16" s="36" t="s">
        <v>34</v>
      </c>
      <c r="D16" s="37"/>
      <c r="E16" s="37"/>
      <c r="F16" s="37"/>
      <c r="G16" s="37"/>
      <c r="H16" s="37"/>
      <c r="I16" s="37"/>
      <c r="J16" s="37"/>
      <c r="K16" s="37"/>
      <c r="L16" s="37"/>
      <c r="M16" s="38"/>
      <c r="N16" s="37">
        <v>-211.7586</v>
      </c>
      <c r="O16" s="37">
        <v>17.793099999999999</v>
      </c>
      <c r="P16" s="37">
        <f>N16+O16</f>
        <v>-193.96549999999999</v>
      </c>
      <c r="Q16" s="39">
        <f>N16*0.13559</f>
        <v>-28.712348573999996</v>
      </c>
      <c r="R16" s="39">
        <f t="shared" ref="R16" si="31">O16*0.20001</f>
        <v>3.5587979309999995</v>
      </c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62"/>
      <c r="AL16" s="63"/>
      <c r="AM16" s="63"/>
      <c r="AN16" s="62"/>
      <c r="AO16" s="63"/>
      <c r="AP16" s="62"/>
      <c r="AQ16" s="63"/>
      <c r="AR16" s="38"/>
      <c r="AS16" s="36">
        <v>-249.03450000000001</v>
      </c>
      <c r="AT16" s="36">
        <v>5.3792999999999997</v>
      </c>
      <c r="AU16" s="36">
        <f t="shared" si="30"/>
        <v>-243.65520000000001</v>
      </c>
      <c r="AV16" s="39">
        <f>AS16*0.13559</f>
        <v>-33.766587854999997</v>
      </c>
      <c r="AW16" s="39">
        <f t="shared" ref="AW16:AW17" si="32">AT16*0.20001</f>
        <v>1.075913793</v>
      </c>
      <c r="AX16" s="39"/>
      <c r="AY16" s="39"/>
      <c r="AZ16" s="39"/>
      <c r="BA16" s="39"/>
      <c r="BB16" s="39"/>
      <c r="BC16" s="39"/>
      <c r="BD16" s="39"/>
      <c r="BE16" s="39"/>
      <c r="BF16" s="39"/>
    </row>
    <row r="17" spans="1:58" ht="14.25" customHeight="1" x14ac:dyDescent="0.2">
      <c r="A17" s="2"/>
      <c r="B17" s="13">
        <v>45540</v>
      </c>
      <c r="C17" s="13">
        <v>45552</v>
      </c>
      <c r="D17" s="15">
        <f>ROUND(J17/M17,0)</f>
        <v>-1339</v>
      </c>
      <c r="E17" s="15">
        <f>ROUND(K17/M17,0)</f>
        <v>-173</v>
      </c>
      <c r="F17" s="15">
        <v>-1516</v>
      </c>
      <c r="G17" s="15">
        <f t="shared" ref="G17:H17" si="33">G18+G19</f>
        <v>175</v>
      </c>
      <c r="H17" s="15">
        <f t="shared" si="33"/>
        <v>145</v>
      </c>
      <c r="I17" s="15">
        <v>320</v>
      </c>
      <c r="J17" s="15">
        <f>J18+J19</f>
        <v>-386</v>
      </c>
      <c r="K17" s="15">
        <f t="shared" ref="K17" si="34">K18+K19</f>
        <v>-50</v>
      </c>
      <c r="L17" s="15">
        <v>-437</v>
      </c>
      <c r="M17" s="16">
        <f>L17/F17</f>
        <v>0.28825857519788917</v>
      </c>
      <c r="N17" s="68">
        <v>-211</v>
      </c>
      <c r="O17" s="68">
        <v>95</v>
      </c>
      <c r="P17" s="68">
        <f>O17+N17</f>
        <v>-116</v>
      </c>
      <c r="Q17" s="17">
        <f>N17*0.12116</f>
        <v>-25.56476</v>
      </c>
      <c r="R17" s="17">
        <f>O17*0.20001</f>
        <v>19.00095</v>
      </c>
      <c r="S17" s="17">
        <f>R17+Q17</f>
        <v>-6.5638100000000001</v>
      </c>
      <c r="T17" s="17">
        <f>N17*0.01</f>
        <v>-2.11</v>
      </c>
      <c r="U17" s="18">
        <f>(ABS(Q17)+ABS(R17))/(ABS(N17)+ABS(O17))</f>
        <v>0.14563957516339868</v>
      </c>
      <c r="V17" s="19">
        <f>ABS(R17)/ABS(O17)</f>
        <v>0.20000999999999999</v>
      </c>
      <c r="W17" s="19">
        <f>Q17/N17</f>
        <v>0.12116</v>
      </c>
      <c r="X17" s="20">
        <v>0</v>
      </c>
      <c r="Y17" s="20">
        <f>Q17+R17+T17+X17</f>
        <v>-8.6738099999999996</v>
      </c>
      <c r="Z17" s="21">
        <v>167.11</v>
      </c>
      <c r="AA17" s="21">
        <v>0</v>
      </c>
      <c r="AB17" s="17">
        <v>-27.53</v>
      </c>
      <c r="AC17" s="17">
        <v>11.37</v>
      </c>
      <c r="AD17" s="17">
        <v>0.64</v>
      </c>
      <c r="AE17" s="20">
        <f>AD17+AC17+AB17</f>
        <v>-15.520000000000001</v>
      </c>
      <c r="AF17" s="17">
        <v>10</v>
      </c>
      <c r="AG17" s="17">
        <v>11.75</v>
      </c>
      <c r="AH17" s="17">
        <v>0</v>
      </c>
      <c r="AI17" s="17">
        <f>AF17+AG17+AH17</f>
        <v>21.75</v>
      </c>
      <c r="AJ17" s="15">
        <v>0</v>
      </c>
      <c r="AK17" s="22">
        <f>AA17+AI17+AJ17</f>
        <v>21.75</v>
      </c>
      <c r="AL17" s="15">
        <f t="shared" ref="AL17:AM17" si="35">AS17-AO17</f>
        <v>519</v>
      </c>
      <c r="AM17" s="15">
        <f t="shared" si="35"/>
        <v>203</v>
      </c>
      <c r="AN17" s="15">
        <v>726</v>
      </c>
      <c r="AO17" s="15">
        <f>D17-J17</f>
        <v>-953</v>
      </c>
      <c r="AP17" s="15">
        <f>E17-K17</f>
        <v>-123</v>
      </c>
      <c r="AQ17" s="15">
        <v>-1079</v>
      </c>
      <c r="AR17" s="16">
        <f>AQ17/F17</f>
        <v>0.71174142480211078</v>
      </c>
      <c r="AS17" s="15">
        <v>-434</v>
      </c>
      <c r="AT17" s="15">
        <v>80</v>
      </c>
      <c r="AU17" s="15">
        <f t="shared" si="30"/>
        <v>-354</v>
      </c>
      <c r="AV17" s="17">
        <f>AS17*0.12116</f>
        <v>-52.583440000000003</v>
      </c>
      <c r="AW17" s="17">
        <f t="shared" si="32"/>
        <v>16.000799999999998</v>
      </c>
      <c r="AX17" s="17">
        <f>AW17+AV17</f>
        <v>-36.582640000000005</v>
      </c>
      <c r="AY17" s="17">
        <f>AS17*0.01</f>
        <v>-4.34</v>
      </c>
      <c r="AZ17" s="17">
        <v>0</v>
      </c>
      <c r="BA17" s="20">
        <f>AZ17+AY17+AX17</f>
        <v>-40.922640000000001</v>
      </c>
      <c r="BB17" s="21">
        <v>187.29</v>
      </c>
      <c r="BC17" s="21">
        <v>0</v>
      </c>
      <c r="BD17" s="20">
        <v>11.75</v>
      </c>
      <c r="BE17" s="17">
        <v>0</v>
      </c>
      <c r="BF17" s="22">
        <f>BD17+BC17+BE17</f>
        <v>11.75</v>
      </c>
    </row>
    <row r="18" spans="1:58" ht="14.25" customHeight="1" x14ac:dyDescent="0.2">
      <c r="A18" s="5"/>
      <c r="B18" s="35"/>
      <c r="C18" s="36" t="s">
        <v>35</v>
      </c>
      <c r="D18" s="36">
        <f>ROUND(J18/M17,0)</f>
        <v>-1100</v>
      </c>
      <c r="E18" s="36">
        <f>ROUND(K18/M17,0)</f>
        <v>-153</v>
      </c>
      <c r="F18" s="36"/>
      <c r="G18" s="36">
        <v>149</v>
      </c>
      <c r="H18" s="36">
        <v>128</v>
      </c>
      <c r="I18" s="36"/>
      <c r="J18" s="36">
        <v>-317</v>
      </c>
      <c r="K18" s="36">
        <v>-44</v>
      </c>
      <c r="L18" s="36"/>
      <c r="M18" s="38"/>
      <c r="N18" s="65"/>
      <c r="O18" s="65"/>
      <c r="P18" s="65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6"/>
      <c r="AM18" s="36"/>
      <c r="AN18" s="36"/>
      <c r="AO18" s="36"/>
      <c r="AP18" s="36"/>
      <c r="AQ18" s="36"/>
      <c r="AR18" s="38"/>
      <c r="AS18" s="36"/>
      <c r="AT18" s="36"/>
      <c r="AU18" s="36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</row>
    <row r="19" spans="1:58" ht="14.25" customHeight="1" x14ac:dyDescent="0.2">
      <c r="A19" s="5"/>
      <c r="B19" s="35"/>
      <c r="C19" s="36" t="s">
        <v>36</v>
      </c>
      <c r="D19" s="36">
        <f>ROUND(J19/M17,0)</f>
        <v>-239</v>
      </c>
      <c r="E19" s="36">
        <f>ROUND(K19/M17,0)</f>
        <v>-21</v>
      </c>
      <c r="F19" s="36"/>
      <c r="G19" s="36">
        <v>26</v>
      </c>
      <c r="H19" s="36">
        <v>17</v>
      </c>
      <c r="I19" s="36"/>
      <c r="J19" s="36">
        <v>-69</v>
      </c>
      <c r="K19" s="36">
        <v>-6</v>
      </c>
      <c r="L19" s="36"/>
      <c r="M19" s="38"/>
      <c r="N19" s="65"/>
      <c r="O19" s="65"/>
      <c r="P19" s="65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6"/>
      <c r="AM19" s="36"/>
      <c r="AN19" s="36"/>
      <c r="AO19" s="36"/>
      <c r="AP19" s="36"/>
      <c r="AQ19" s="36"/>
      <c r="AR19" s="38"/>
      <c r="AS19" s="36"/>
      <c r="AT19" s="36"/>
      <c r="AU19" s="36"/>
      <c r="AV19" s="36"/>
      <c r="AW19" s="36"/>
      <c r="AX19" s="39"/>
      <c r="AY19" s="39"/>
      <c r="AZ19" s="39"/>
      <c r="BA19" s="39"/>
      <c r="BB19" s="39"/>
      <c r="BC19" s="39"/>
      <c r="BD19" s="39"/>
      <c r="BE19" s="39"/>
      <c r="BF19" s="39"/>
    </row>
    <row r="20" spans="1:58" ht="14.25" customHeight="1" x14ac:dyDescent="0.2">
      <c r="A20" s="2"/>
      <c r="B20" s="13">
        <v>45571</v>
      </c>
      <c r="C20" s="13">
        <v>45581</v>
      </c>
      <c r="D20" s="15">
        <f>ROUND(J20/M20,0)</f>
        <v>-1199</v>
      </c>
      <c r="E20" s="15">
        <f>ROUND(K20/M20,0)</f>
        <v>-93</v>
      </c>
      <c r="F20" s="15">
        <v>-1292</v>
      </c>
      <c r="G20" s="15">
        <f t="shared" ref="G20:H20" si="36">G21+G22</f>
        <v>191</v>
      </c>
      <c r="H20" s="15">
        <f t="shared" si="36"/>
        <v>157</v>
      </c>
      <c r="I20" s="15">
        <v>348</v>
      </c>
      <c r="J20" s="15">
        <f t="shared" ref="J20:K20" si="37">J21+J22</f>
        <v>-334</v>
      </c>
      <c r="K20" s="15">
        <f t="shared" si="37"/>
        <v>-26</v>
      </c>
      <c r="L20" s="15">
        <v>-360</v>
      </c>
      <c r="M20" s="16">
        <f>L20/F20</f>
        <v>0.27863777089783281</v>
      </c>
      <c r="N20" s="15">
        <f>N22+N21</f>
        <v>-143</v>
      </c>
      <c r="O20" s="15">
        <f>O22+O21</f>
        <v>131</v>
      </c>
      <c r="P20" s="15">
        <f t="shared" ref="P20" si="38">O20+N20</f>
        <v>-12</v>
      </c>
      <c r="Q20" s="17">
        <f>Q21+Q22</f>
        <v>-17.332979999999999</v>
      </c>
      <c r="R20" s="17">
        <f>R21+R22</f>
        <v>22.664209999999997</v>
      </c>
      <c r="S20" s="17">
        <f>R20+Q20</f>
        <v>5.3312299999999979</v>
      </c>
      <c r="T20" s="17">
        <f>N21*0.01</f>
        <v>-1.45</v>
      </c>
      <c r="U20" s="18">
        <f>(ABS(Q20)+ABS(R20))/(ABS(N20)+ABS(O20))</f>
        <v>0.14597514598540146</v>
      </c>
      <c r="V20" s="19">
        <f>ABS(R20)/ABS(O20)</f>
        <v>0.17300923664122136</v>
      </c>
      <c r="W20" s="19">
        <f>Q20/N20</f>
        <v>0.12120965034965034</v>
      </c>
      <c r="X20" s="20">
        <v>0</v>
      </c>
      <c r="Y20" s="20">
        <f>Q20+R20+T20+X20</f>
        <v>3.8812299999999977</v>
      </c>
      <c r="Z20" s="21">
        <v>163.22999999999999</v>
      </c>
      <c r="AA20" s="21">
        <v>0</v>
      </c>
      <c r="AB20" s="17">
        <v>4.42</v>
      </c>
      <c r="AC20" s="17">
        <v>1.01</v>
      </c>
      <c r="AD20" s="17">
        <v>2.1</v>
      </c>
      <c r="AE20" s="20">
        <f>AD20+AC20+AB20</f>
        <v>7.53</v>
      </c>
      <c r="AF20" s="17">
        <v>10</v>
      </c>
      <c r="AG20" s="17">
        <v>12.14</v>
      </c>
      <c r="AH20" s="17">
        <v>0</v>
      </c>
      <c r="AI20" s="17">
        <f>AF20+AG20+AH20</f>
        <v>22.14</v>
      </c>
      <c r="AJ20" s="17">
        <v>-55.17</v>
      </c>
      <c r="AK20" s="22">
        <f>AA20+AI20+AJ20</f>
        <v>-33.03</v>
      </c>
      <c r="AL20" s="15">
        <f t="shared" ref="AL20:AM20" si="39">AS20-AO20</f>
        <v>544</v>
      </c>
      <c r="AM20" s="15">
        <f t="shared" si="39"/>
        <v>199</v>
      </c>
      <c r="AN20" s="15">
        <v>743</v>
      </c>
      <c r="AO20" s="15">
        <f>D20-J20</f>
        <v>-865</v>
      </c>
      <c r="AP20" s="15">
        <f>E20-K20</f>
        <v>-67</v>
      </c>
      <c r="AQ20" s="15">
        <v>-932</v>
      </c>
      <c r="AR20" s="16">
        <f>AQ20/F20</f>
        <v>0.72136222910216719</v>
      </c>
      <c r="AS20" s="15">
        <f>AS21+AS22</f>
        <v>-321</v>
      </c>
      <c r="AT20" s="15">
        <f>AT22+AT21</f>
        <v>132</v>
      </c>
      <c r="AU20" s="15">
        <f t="shared" ref="AU20" si="40">AT20+AS20</f>
        <v>-189</v>
      </c>
      <c r="AV20" s="17">
        <f>AV21+AV22</f>
        <v>-38.729060000000004</v>
      </c>
      <c r="AW20" s="17">
        <f>AW21+AW22</f>
        <v>24.51867</v>
      </c>
      <c r="AX20" s="17">
        <f>AW20+AV20</f>
        <v>-14.210390000000004</v>
      </c>
      <c r="AY20" s="17">
        <f>(AS21+AS22)*0.01</f>
        <v>-3.21</v>
      </c>
      <c r="AZ20" s="17">
        <v>0</v>
      </c>
      <c r="BA20" s="20">
        <f>AZ20+AY20+AX20</f>
        <v>-17.420390000000005</v>
      </c>
      <c r="BB20" s="21">
        <v>204.71</v>
      </c>
      <c r="BC20" s="21">
        <v>0</v>
      </c>
      <c r="BD20" s="20">
        <v>12.14</v>
      </c>
      <c r="BE20" s="17">
        <v>-55.17</v>
      </c>
      <c r="BF20" s="22">
        <f t="shared" ref="BF20" si="41">BD20+BC20+BE20</f>
        <v>-43.03</v>
      </c>
    </row>
    <row r="21" spans="1:58" ht="14.25" customHeight="1" x14ac:dyDescent="0.2">
      <c r="A21" s="6"/>
      <c r="B21" s="40"/>
      <c r="C21" s="25" t="s">
        <v>30</v>
      </c>
      <c r="D21" s="25">
        <f>ROUND(J21/M20,0)</f>
        <v>-983</v>
      </c>
      <c r="E21" s="25">
        <f>ROUND(K21/M20,0)</f>
        <v>-83</v>
      </c>
      <c r="F21" s="25"/>
      <c r="G21" s="25">
        <v>129</v>
      </c>
      <c r="H21" s="25">
        <v>92</v>
      </c>
      <c r="I21" s="25"/>
      <c r="J21" s="25">
        <v>-274</v>
      </c>
      <c r="K21" s="25">
        <v>-23</v>
      </c>
      <c r="L21" s="25"/>
      <c r="M21" s="26"/>
      <c r="N21" s="67">
        <v>-145</v>
      </c>
      <c r="O21" s="67">
        <v>69</v>
      </c>
      <c r="P21" s="67">
        <f>O21+N21</f>
        <v>-76</v>
      </c>
      <c r="Q21" s="27">
        <f>N21*0.12116</f>
        <v>-17.568200000000001</v>
      </c>
      <c r="R21" s="27">
        <f>O21*0.20001</f>
        <v>13.800689999999999</v>
      </c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41"/>
      <c r="AK21" s="27"/>
      <c r="AL21" s="25"/>
      <c r="AM21" s="25"/>
      <c r="AN21" s="25"/>
      <c r="AO21" s="25"/>
      <c r="AP21" s="25"/>
      <c r="AQ21" s="25"/>
      <c r="AR21" s="26"/>
      <c r="AS21" s="25">
        <v>-275</v>
      </c>
      <c r="AT21" s="25">
        <v>99</v>
      </c>
      <c r="AU21" s="25">
        <f>AT21+AS21</f>
        <v>-176</v>
      </c>
      <c r="AV21" s="27">
        <f>AS21*0.12116</f>
        <v>-33.319000000000003</v>
      </c>
      <c r="AW21" s="27">
        <f>AT21*0.20001</f>
        <v>19.800989999999999</v>
      </c>
      <c r="AX21" s="27"/>
      <c r="AY21" s="27"/>
      <c r="AZ21" s="27"/>
      <c r="BA21" s="27"/>
      <c r="BB21" s="27"/>
      <c r="BC21" s="27"/>
      <c r="BD21" s="27"/>
      <c r="BE21" s="27"/>
      <c r="BF21" s="27"/>
    </row>
    <row r="22" spans="1:58" ht="14.25" customHeight="1" x14ac:dyDescent="0.2">
      <c r="A22" s="6"/>
      <c r="B22" s="40"/>
      <c r="C22" s="25" t="s">
        <v>29</v>
      </c>
      <c r="D22" s="25">
        <f>ROUND(J22/M20,0)</f>
        <v>-215</v>
      </c>
      <c r="E22" s="25">
        <f>ROUND(K22/M20,0)</f>
        <v>-11</v>
      </c>
      <c r="F22" s="25"/>
      <c r="G22" s="25">
        <v>62</v>
      </c>
      <c r="H22" s="25">
        <v>65</v>
      </c>
      <c r="I22" s="25"/>
      <c r="J22" s="25">
        <v>-60</v>
      </c>
      <c r="K22" s="25">
        <v>-3</v>
      </c>
      <c r="L22" s="25"/>
      <c r="M22" s="26"/>
      <c r="N22" s="67">
        <v>2</v>
      </c>
      <c r="O22" s="67">
        <v>62</v>
      </c>
      <c r="P22" s="67">
        <f>O22+N22</f>
        <v>64</v>
      </c>
      <c r="Q22" s="27">
        <f>N22*0.11761</f>
        <v>0.23522000000000001</v>
      </c>
      <c r="R22" s="27">
        <f>O22*0.14296</f>
        <v>8.8635199999999994</v>
      </c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41"/>
      <c r="AK22" s="27"/>
      <c r="AL22" s="25"/>
      <c r="AM22" s="25"/>
      <c r="AN22" s="25"/>
      <c r="AO22" s="25"/>
      <c r="AP22" s="25"/>
      <c r="AQ22" s="25"/>
      <c r="AR22" s="26"/>
      <c r="AS22" s="25">
        <v>-46</v>
      </c>
      <c r="AT22" s="25">
        <v>33</v>
      </c>
      <c r="AU22" s="25">
        <f>AT22+AS22</f>
        <v>-13</v>
      </c>
      <c r="AV22" s="27">
        <f>AS22*0.11761</f>
        <v>-5.4100600000000005</v>
      </c>
      <c r="AW22" s="27">
        <f>AT22*0.14296</f>
        <v>4.7176800000000005</v>
      </c>
      <c r="AX22" s="27"/>
      <c r="AY22" s="27"/>
      <c r="AZ22" s="27"/>
      <c r="BA22" s="27"/>
      <c r="BB22" s="27"/>
      <c r="BC22" s="27"/>
      <c r="BD22" s="27"/>
      <c r="BE22" s="27"/>
      <c r="BF22" s="27"/>
    </row>
    <row r="23" spans="1:58" ht="14.25" customHeight="1" x14ac:dyDescent="0.2">
      <c r="A23" s="7"/>
      <c r="B23" s="42">
        <v>45600</v>
      </c>
      <c r="C23" s="42">
        <v>45610</v>
      </c>
      <c r="D23" s="43">
        <f>ROUND(J23/M23,0)</f>
        <v>-973</v>
      </c>
      <c r="E23" s="43">
        <f>ROUND(K23/M23,0)</f>
        <v>-17</v>
      </c>
      <c r="F23" s="43">
        <v>-990</v>
      </c>
      <c r="G23" s="43">
        <v>219</v>
      </c>
      <c r="H23" s="43">
        <v>197</v>
      </c>
      <c r="I23" s="43">
        <v>416</v>
      </c>
      <c r="J23" s="43">
        <v>-351</v>
      </c>
      <c r="K23" s="43">
        <v>-6</v>
      </c>
      <c r="L23" s="43">
        <v>-357</v>
      </c>
      <c r="M23" s="44">
        <f>L23/F23</f>
        <v>0.3606060606060606</v>
      </c>
      <c r="N23" s="43">
        <v>-132</v>
      </c>
      <c r="O23" s="43">
        <v>191</v>
      </c>
      <c r="P23" s="43">
        <f t="shared" ref="P23:P25" si="42">O23+N23</f>
        <v>59</v>
      </c>
      <c r="Q23" s="45">
        <f t="shared" ref="Q23:Q25" si="43">N23*0.11761</f>
        <v>-15.524520000000001</v>
      </c>
      <c r="R23" s="45">
        <f t="shared" ref="R23:R25" si="44">O23*0.14296</f>
        <v>27.30536</v>
      </c>
      <c r="S23" s="45">
        <f t="shared" ref="S23:S25" si="45">R23+Q23</f>
        <v>11.78084</v>
      </c>
      <c r="T23" s="45">
        <f>N23*0.01</f>
        <v>-1.32</v>
      </c>
      <c r="U23" s="18">
        <f t="shared" ref="U23:U25" si="46">(ABS(Q23)+ABS(R23))/(ABS(N23)+ABS(O23))</f>
        <v>0.13260024767801859</v>
      </c>
      <c r="V23" s="19">
        <f t="shared" ref="V23:V25" si="47">ABS(R23)/ABS(O23)</f>
        <v>0.14296</v>
      </c>
      <c r="W23" s="19">
        <f t="shared" ref="W23:W25" si="48">Q23/N23</f>
        <v>0.11761000000000001</v>
      </c>
      <c r="X23" s="20">
        <v>0.02</v>
      </c>
      <c r="Y23" s="20">
        <f>Q23+R23+T23+X23</f>
        <v>10.480839999999999</v>
      </c>
      <c r="Z23" s="21">
        <v>152.74</v>
      </c>
      <c r="AA23" s="21">
        <v>0</v>
      </c>
      <c r="AB23" s="45">
        <v>27.92</v>
      </c>
      <c r="AC23" s="45">
        <v>-5.97</v>
      </c>
      <c r="AD23" s="45">
        <v>3.43</v>
      </c>
      <c r="AE23" s="20">
        <f t="shared" ref="AE23:AE25" si="49">AD23+AC23+AB23</f>
        <v>25.380000000000003</v>
      </c>
      <c r="AF23" s="45">
        <v>10</v>
      </c>
      <c r="AG23" s="45">
        <v>11.36</v>
      </c>
      <c r="AH23" s="45">
        <v>0</v>
      </c>
      <c r="AI23" s="45">
        <f t="shared" ref="AI23:AI25" si="50">AF23+AG23+AH23</f>
        <v>21.36</v>
      </c>
      <c r="AJ23" s="46">
        <v>0</v>
      </c>
      <c r="AK23" s="22">
        <f>AA23+AI23+AJ23</f>
        <v>21.36</v>
      </c>
      <c r="AL23" s="43">
        <v>487</v>
      </c>
      <c r="AM23" s="43">
        <v>168</v>
      </c>
      <c r="AN23" s="43">
        <v>655</v>
      </c>
      <c r="AO23" s="43">
        <v>-622</v>
      </c>
      <c r="AP23" s="43">
        <v>-11</v>
      </c>
      <c r="AQ23" s="43">
        <v>-633</v>
      </c>
      <c r="AR23" s="44">
        <f>AQ23/F23</f>
        <v>0.6393939393939394</v>
      </c>
      <c r="AS23" s="43">
        <v>-135</v>
      </c>
      <c r="AT23" s="43">
        <v>157</v>
      </c>
      <c r="AU23" s="43">
        <f t="shared" ref="AU23:AU25" si="51">AT23+AS23</f>
        <v>22</v>
      </c>
      <c r="AV23" s="45">
        <f t="shared" ref="AV23:AV25" si="52">AS23*0.11761</f>
        <v>-15.877350000000002</v>
      </c>
      <c r="AW23" s="45">
        <f t="shared" ref="AW23:AW25" si="53">AT23*0.14296</f>
        <v>22.44472</v>
      </c>
      <c r="AX23" s="45">
        <f t="shared" ref="AX23:AX25" si="54">AW23+AV23</f>
        <v>6.5673699999999986</v>
      </c>
      <c r="AY23" s="45">
        <f>AS23*0.01</f>
        <v>-1.35</v>
      </c>
      <c r="AZ23" s="45">
        <v>0.01</v>
      </c>
      <c r="BA23" s="20">
        <f t="shared" ref="BA23:BA25" si="55">AZ23+AY23+AX23</f>
        <v>5.2273699999999987</v>
      </c>
      <c r="BB23" s="21">
        <v>199.49</v>
      </c>
      <c r="BC23" s="21">
        <v>0</v>
      </c>
      <c r="BD23" s="20">
        <v>11.36</v>
      </c>
      <c r="BE23" s="45">
        <v>0</v>
      </c>
      <c r="BF23" s="22">
        <f t="shared" ref="BF23:BF25" si="56">BD23+BC23+BE23</f>
        <v>11.36</v>
      </c>
    </row>
    <row r="24" spans="1:58" ht="14.25" customHeight="1" x14ac:dyDescent="0.2">
      <c r="A24" s="2"/>
      <c r="B24" s="13">
        <v>45631</v>
      </c>
      <c r="C24" s="13">
        <v>45643</v>
      </c>
      <c r="D24" s="15">
        <f>ROUND(J24/M24,0)</f>
        <v>-605</v>
      </c>
      <c r="E24" s="15">
        <f t="shared" ref="E24:E25" si="57">ROUND(K24/M24,0)</f>
        <v>0</v>
      </c>
      <c r="F24" s="15">
        <v>-605</v>
      </c>
      <c r="G24" s="15">
        <v>350</v>
      </c>
      <c r="H24" s="15">
        <v>214</v>
      </c>
      <c r="I24" s="15">
        <v>564</v>
      </c>
      <c r="J24" s="15">
        <v>-206</v>
      </c>
      <c r="K24" s="15">
        <v>0</v>
      </c>
      <c r="L24" s="15">
        <v>-206</v>
      </c>
      <c r="M24" s="16">
        <f t="shared" ref="M24" si="58">L24/F24</f>
        <v>0.34049586776859503</v>
      </c>
      <c r="N24" s="15">
        <v>144</v>
      </c>
      <c r="O24" s="15">
        <v>214</v>
      </c>
      <c r="P24" s="15">
        <f t="shared" si="42"/>
        <v>358</v>
      </c>
      <c r="Q24" s="17">
        <f t="shared" si="43"/>
        <v>16.935840000000002</v>
      </c>
      <c r="R24" s="17">
        <f t="shared" si="44"/>
        <v>30.593440000000001</v>
      </c>
      <c r="S24" s="17">
        <f t="shared" si="45"/>
        <v>47.52928</v>
      </c>
      <c r="T24" s="17">
        <v>0</v>
      </c>
      <c r="U24" s="18">
        <f t="shared" si="46"/>
        <v>0.13276335195530725</v>
      </c>
      <c r="V24" s="19">
        <f t="shared" si="47"/>
        <v>0.14296</v>
      </c>
      <c r="W24" s="19">
        <f t="shared" si="48"/>
        <v>0.11761000000000002</v>
      </c>
      <c r="X24" s="20">
        <v>0.02</v>
      </c>
      <c r="Y24" s="20">
        <f>Q24+R24+T24+X24</f>
        <v>47.549280000000003</v>
      </c>
      <c r="Z24" s="21">
        <v>105.1</v>
      </c>
      <c r="AA24" s="21">
        <v>0</v>
      </c>
      <c r="AB24" s="17">
        <v>120.14</v>
      </c>
      <c r="AC24" s="17">
        <v>-36.22</v>
      </c>
      <c r="AD24" s="17">
        <v>8.11</v>
      </c>
      <c r="AE24" s="20">
        <f t="shared" si="49"/>
        <v>92.03</v>
      </c>
      <c r="AF24" s="17">
        <v>10</v>
      </c>
      <c r="AG24" s="17">
        <v>12.14</v>
      </c>
      <c r="AH24" s="17">
        <v>0</v>
      </c>
      <c r="AI24" s="17">
        <f t="shared" si="50"/>
        <v>22.14</v>
      </c>
      <c r="AJ24" s="47">
        <v>0</v>
      </c>
      <c r="AK24" s="22">
        <f>AA24+AI24+AJ24</f>
        <v>22.14</v>
      </c>
      <c r="AL24" s="15">
        <f t="shared" ref="AL24:AM24" si="59">AS24-AO24</f>
        <v>599</v>
      </c>
      <c r="AM24" s="15">
        <f t="shared" si="59"/>
        <v>242</v>
      </c>
      <c r="AN24" s="15">
        <v>841</v>
      </c>
      <c r="AO24" s="15">
        <f>D24-J24</f>
        <v>-399</v>
      </c>
      <c r="AP24" s="15">
        <f>E24-K24</f>
        <v>0</v>
      </c>
      <c r="AQ24" s="15">
        <v>-399</v>
      </c>
      <c r="AR24" s="16">
        <f>AQ24/F24</f>
        <v>0.65950413223140492</v>
      </c>
      <c r="AS24" s="15">
        <v>200</v>
      </c>
      <c r="AT24" s="15">
        <v>242</v>
      </c>
      <c r="AU24" s="15">
        <f t="shared" si="51"/>
        <v>442</v>
      </c>
      <c r="AV24" s="17">
        <f t="shared" si="52"/>
        <v>23.522000000000002</v>
      </c>
      <c r="AW24" s="17">
        <f t="shared" si="53"/>
        <v>34.596319999999999</v>
      </c>
      <c r="AX24" s="17">
        <f t="shared" si="54"/>
        <v>58.118319999999997</v>
      </c>
      <c r="AY24" s="17">
        <v>0</v>
      </c>
      <c r="AZ24" s="17">
        <v>0.13</v>
      </c>
      <c r="BA24" s="20">
        <f t="shared" si="55"/>
        <v>58.24832</v>
      </c>
      <c r="BB24" s="21">
        <v>141.24</v>
      </c>
      <c r="BC24" s="21">
        <v>0</v>
      </c>
      <c r="BD24" s="20">
        <v>12.14</v>
      </c>
      <c r="BE24" s="17">
        <v>0</v>
      </c>
      <c r="BF24" s="22">
        <f t="shared" si="56"/>
        <v>12.14</v>
      </c>
    </row>
    <row r="25" spans="1:58" ht="14.25" customHeight="1" x14ac:dyDescent="0.2">
      <c r="A25" s="2"/>
      <c r="B25" s="13">
        <v>45663</v>
      </c>
      <c r="C25" s="13">
        <v>45673</v>
      </c>
      <c r="D25" s="15">
        <f t="shared" ref="D25" si="60">ROUND(J25/M25,0)</f>
        <v>-309</v>
      </c>
      <c r="E25" s="15">
        <f t="shared" si="57"/>
        <v>0</v>
      </c>
      <c r="F25" s="15">
        <v>-309</v>
      </c>
      <c r="G25" s="15">
        <f t="shared" ref="G25:H25" si="61">G26+G27</f>
        <v>489</v>
      </c>
      <c r="H25" s="15">
        <f t="shared" si="61"/>
        <v>332</v>
      </c>
      <c r="I25" s="15">
        <v>821</v>
      </c>
      <c r="J25" s="15">
        <f t="shared" ref="J25:K25" si="62">J26+J27</f>
        <v>-210</v>
      </c>
      <c r="K25" s="15">
        <f t="shared" si="62"/>
        <v>0</v>
      </c>
      <c r="L25" s="15">
        <v>-210</v>
      </c>
      <c r="M25" s="16">
        <f>L25/F25</f>
        <v>0.67961165048543692</v>
      </c>
      <c r="N25" s="15">
        <v>279</v>
      </c>
      <c r="O25" s="15">
        <v>332</v>
      </c>
      <c r="P25" s="15">
        <f t="shared" si="42"/>
        <v>611</v>
      </c>
      <c r="Q25" s="17">
        <f t="shared" si="43"/>
        <v>32.813189999999999</v>
      </c>
      <c r="R25" s="17">
        <f t="shared" si="44"/>
        <v>47.462720000000004</v>
      </c>
      <c r="S25" s="17">
        <f t="shared" si="45"/>
        <v>80.27591000000001</v>
      </c>
      <c r="T25" s="17">
        <v>0</v>
      </c>
      <c r="U25" s="18">
        <f t="shared" si="46"/>
        <v>0.1313844680851064</v>
      </c>
      <c r="V25" s="19">
        <f t="shared" si="47"/>
        <v>0.14296</v>
      </c>
      <c r="W25" s="19">
        <f t="shared" si="48"/>
        <v>0.11760999999999999</v>
      </c>
      <c r="X25" s="20">
        <v>0.18</v>
      </c>
      <c r="Y25" s="20">
        <f>Q25+R25+T25+X25</f>
        <v>80.455910000000017</v>
      </c>
      <c r="Z25" s="21">
        <v>24.65</v>
      </c>
      <c r="AA25" s="21">
        <v>0</v>
      </c>
      <c r="AB25" s="17">
        <v>201.73</v>
      </c>
      <c r="AC25" s="17">
        <v>-41.77</v>
      </c>
      <c r="AD25" s="17">
        <v>12.56</v>
      </c>
      <c r="AE25" s="20">
        <f t="shared" si="49"/>
        <v>172.51999999999998</v>
      </c>
      <c r="AF25" s="17">
        <v>10</v>
      </c>
      <c r="AG25" s="17">
        <v>12.53</v>
      </c>
      <c r="AH25" s="17">
        <v>0</v>
      </c>
      <c r="AI25" s="17">
        <f t="shared" si="50"/>
        <v>22.53</v>
      </c>
      <c r="AJ25" s="47">
        <v>0</v>
      </c>
      <c r="AK25" s="22">
        <f>AA25+AI25+AJ25</f>
        <v>22.53</v>
      </c>
      <c r="AL25" s="15">
        <f t="shared" ref="AL25:AM25" si="63">AS25-AO25</f>
        <v>693</v>
      </c>
      <c r="AM25" s="15">
        <f t="shared" si="63"/>
        <v>231</v>
      </c>
      <c r="AN25" s="15">
        <v>924</v>
      </c>
      <c r="AO25" s="15">
        <f>D25-J25</f>
        <v>-99</v>
      </c>
      <c r="AP25" s="15">
        <f>E25-K25</f>
        <v>0</v>
      </c>
      <c r="AQ25" s="15">
        <v>-99</v>
      </c>
      <c r="AR25" s="16">
        <f>AQ25/F25</f>
        <v>0.32038834951456313</v>
      </c>
      <c r="AS25" s="15">
        <v>594</v>
      </c>
      <c r="AT25" s="15">
        <v>231</v>
      </c>
      <c r="AU25" s="15">
        <f t="shared" si="51"/>
        <v>825</v>
      </c>
      <c r="AV25" s="17">
        <f t="shared" si="52"/>
        <v>69.860340000000008</v>
      </c>
      <c r="AW25" s="17">
        <f t="shared" si="53"/>
        <v>33.023760000000003</v>
      </c>
      <c r="AX25" s="17">
        <f t="shared" si="54"/>
        <v>102.88410000000002</v>
      </c>
      <c r="AY25" s="17">
        <v>0</v>
      </c>
      <c r="AZ25" s="17">
        <v>0.25</v>
      </c>
      <c r="BA25" s="20">
        <f t="shared" si="55"/>
        <v>103.13410000000002</v>
      </c>
      <c r="BB25" s="21">
        <v>38.11</v>
      </c>
      <c r="BC25" s="21">
        <v>0</v>
      </c>
      <c r="BD25" s="20">
        <v>12.53</v>
      </c>
      <c r="BE25" s="17">
        <v>0</v>
      </c>
      <c r="BF25" s="22">
        <f t="shared" si="56"/>
        <v>12.53</v>
      </c>
    </row>
    <row r="26" spans="1:58" ht="14.25" customHeight="1" x14ac:dyDescent="0.2">
      <c r="A26" s="4"/>
      <c r="B26" s="28"/>
      <c r="C26" s="29" t="s">
        <v>37</v>
      </c>
      <c r="D26" s="36">
        <f>ROUND(J26/M25,0)</f>
        <v>-283</v>
      </c>
      <c r="E26" s="36">
        <f>ROUND(K26/M25,0)</f>
        <v>0</v>
      </c>
      <c r="F26" s="29"/>
      <c r="G26" s="29">
        <v>370</v>
      </c>
      <c r="H26" s="29">
        <v>241</v>
      </c>
      <c r="I26" s="29"/>
      <c r="J26" s="29">
        <v>-192</v>
      </c>
      <c r="K26" s="29">
        <v>0</v>
      </c>
      <c r="L26" s="29"/>
      <c r="M26" s="29"/>
      <c r="N26" s="29"/>
      <c r="O26" s="29"/>
      <c r="P26" s="29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48"/>
      <c r="AK26" s="32"/>
      <c r="AL26" s="29"/>
      <c r="AM26" s="29"/>
      <c r="AN26" s="29"/>
      <c r="AO26" s="29"/>
      <c r="AP26" s="29"/>
      <c r="AQ26" s="29"/>
      <c r="AR26" s="30"/>
      <c r="AS26" s="29"/>
      <c r="AT26" s="29"/>
      <c r="AU26" s="29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</row>
    <row r="27" spans="1:58" ht="14.25" customHeight="1" x14ac:dyDescent="0.2">
      <c r="A27" s="4"/>
      <c r="B27" s="28"/>
      <c r="C27" s="29" t="s">
        <v>38</v>
      </c>
      <c r="D27" s="36">
        <f>ROUND(J27/M25,0)</f>
        <v>-26</v>
      </c>
      <c r="E27" s="36">
        <f>ROUND(K27/M25,0)</f>
        <v>0</v>
      </c>
      <c r="F27" s="29"/>
      <c r="G27" s="29">
        <v>119</v>
      </c>
      <c r="H27" s="29">
        <v>91</v>
      </c>
      <c r="I27" s="29"/>
      <c r="J27" s="29">
        <v>-18</v>
      </c>
      <c r="K27" s="29">
        <v>0</v>
      </c>
      <c r="L27" s="29"/>
      <c r="M27" s="29"/>
      <c r="N27" s="29"/>
      <c r="O27" s="29"/>
      <c r="P27" s="29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48"/>
      <c r="AK27" s="32"/>
      <c r="AL27" s="29"/>
      <c r="AM27" s="29"/>
      <c r="AN27" s="29"/>
      <c r="AO27" s="29"/>
      <c r="AP27" s="29"/>
      <c r="AQ27" s="29"/>
      <c r="AR27" s="30"/>
      <c r="AS27" s="29"/>
      <c r="AT27" s="29"/>
      <c r="AU27" s="29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</row>
    <row r="28" spans="1:58" ht="14.25" customHeight="1" x14ac:dyDescent="0.2">
      <c r="A28" s="2"/>
      <c r="B28" s="13">
        <v>45692</v>
      </c>
      <c r="C28" s="13">
        <v>45707</v>
      </c>
      <c r="D28" s="15">
        <v>0</v>
      </c>
      <c r="E28" s="15">
        <v>0</v>
      </c>
      <c r="F28" s="15">
        <v>0</v>
      </c>
      <c r="G28" s="15">
        <v>615</v>
      </c>
      <c r="H28" s="15">
        <v>332</v>
      </c>
      <c r="I28" s="15">
        <f>G28+H28</f>
        <v>947</v>
      </c>
      <c r="J28" s="15">
        <v>0</v>
      </c>
      <c r="K28" s="15">
        <v>-190</v>
      </c>
      <c r="L28" s="15">
        <v>-190</v>
      </c>
      <c r="M28" s="49" t="s">
        <v>14</v>
      </c>
      <c r="N28" s="15">
        <v>615</v>
      </c>
      <c r="O28" s="15">
        <v>142</v>
      </c>
      <c r="P28" s="15">
        <v>757</v>
      </c>
      <c r="Q28" s="17">
        <v>72.33</v>
      </c>
      <c r="R28" s="17">
        <v>20.3</v>
      </c>
      <c r="S28" s="17">
        <f>R28+Q28</f>
        <v>92.63</v>
      </c>
      <c r="T28" s="17">
        <v>-10</v>
      </c>
      <c r="U28" s="18">
        <f t="shared" ref="U28:U29" si="64">(ABS(Q28)+ABS(R28))/(ABS(N28)+ABS(O28))</f>
        <v>0.12236459709379127</v>
      </c>
      <c r="V28" s="19">
        <f t="shared" ref="V28:V29" si="65">ABS(R28)/ABS(O28)</f>
        <v>0.14295774647887324</v>
      </c>
      <c r="W28" s="19">
        <f t="shared" ref="W28:W29" si="66">Q28/N28</f>
        <v>0.11760975609756097</v>
      </c>
      <c r="X28" s="20">
        <v>0</v>
      </c>
      <c r="Y28" s="20">
        <f>Q28+R28+T28+X28</f>
        <v>82.63</v>
      </c>
      <c r="Z28" s="21">
        <v>0</v>
      </c>
      <c r="AA28" s="21">
        <f>Y28-14.65+0.23</f>
        <v>68.209999999999994</v>
      </c>
      <c r="AB28" s="17">
        <v>248.1</v>
      </c>
      <c r="AC28" s="17">
        <v>-37.92</v>
      </c>
      <c r="AD28" s="17">
        <v>14.16</v>
      </c>
      <c r="AE28" s="20">
        <f>AD28+AC28+AB28</f>
        <v>224.34</v>
      </c>
      <c r="AF28" s="17">
        <v>10</v>
      </c>
      <c r="AG28" s="17">
        <v>11.36</v>
      </c>
      <c r="AH28" s="17">
        <v>0</v>
      </c>
      <c r="AI28" s="17">
        <f t="shared" ref="AI28:AI29" si="67">AF28+AG28+AH28</f>
        <v>21.36</v>
      </c>
      <c r="AJ28" s="47">
        <v>0</v>
      </c>
      <c r="AK28" s="22">
        <f>AA28+AI28+AJ28</f>
        <v>89.57</v>
      </c>
      <c r="AL28" s="15">
        <f t="shared" ref="AL28:AM28" si="68">AS28-AO28</f>
        <v>732</v>
      </c>
      <c r="AM28" s="15">
        <f t="shared" si="68"/>
        <v>9</v>
      </c>
      <c r="AN28" s="15">
        <v>741</v>
      </c>
      <c r="AO28" s="15">
        <f t="shared" ref="AO28:AP31" si="69">D28-J28</f>
        <v>0</v>
      </c>
      <c r="AP28" s="15">
        <f t="shared" si="69"/>
        <v>190</v>
      </c>
      <c r="AQ28" s="15">
        <v>190</v>
      </c>
      <c r="AR28" s="49" t="s">
        <v>14</v>
      </c>
      <c r="AS28" s="15">
        <v>732</v>
      </c>
      <c r="AT28" s="15">
        <v>199</v>
      </c>
      <c r="AU28" s="15">
        <f t="shared" ref="AU28:AU30" si="70">AT28+AS28</f>
        <v>931</v>
      </c>
      <c r="AV28" s="17">
        <f>AS28*0.11761</f>
        <v>86.090519999999998</v>
      </c>
      <c r="AW28" s="17">
        <f>AT28*0.14296</f>
        <v>28.44904</v>
      </c>
      <c r="AX28" s="17">
        <f t="shared" ref="AX28:AX29" si="71">AW28+AV28</f>
        <v>114.53955999999999</v>
      </c>
      <c r="AY28" s="17">
        <v>0</v>
      </c>
      <c r="AZ28" s="17">
        <v>0.28000000000000003</v>
      </c>
      <c r="BA28" s="20">
        <f t="shared" ref="BA28:BA29" si="72">AZ28+AY28+AX28</f>
        <v>114.81956</v>
      </c>
      <c r="BB28" s="21">
        <v>0</v>
      </c>
      <c r="BC28" s="21">
        <v>76.709999999999994</v>
      </c>
      <c r="BD28" s="20">
        <v>11.36</v>
      </c>
      <c r="BE28" s="17">
        <v>0</v>
      </c>
      <c r="BF28" s="22">
        <f t="shared" ref="BF28:BF29" si="73">BD28+BC28+BE28</f>
        <v>88.07</v>
      </c>
    </row>
    <row r="29" spans="1:58" ht="14.25" customHeight="1" x14ac:dyDescent="0.2">
      <c r="A29" s="2"/>
      <c r="B29" s="13">
        <v>45722</v>
      </c>
      <c r="C29" s="13">
        <v>45730</v>
      </c>
      <c r="D29" s="15">
        <f>ROUND(J29/M29,0)</f>
        <v>-760</v>
      </c>
      <c r="E29" s="15">
        <f>ROUND(K29/M29,0)</f>
        <v>-2</v>
      </c>
      <c r="F29" s="15">
        <v>-762</v>
      </c>
      <c r="G29" s="15">
        <f t="shared" ref="G29:H29" si="74">G30+G31</f>
        <v>321</v>
      </c>
      <c r="H29" s="15">
        <f t="shared" si="74"/>
        <v>286</v>
      </c>
      <c r="I29" s="15">
        <v>607</v>
      </c>
      <c r="J29" s="15">
        <f t="shared" ref="J29:K29" si="75">J30+J31</f>
        <v>-304</v>
      </c>
      <c r="K29" s="15">
        <f t="shared" si="75"/>
        <v>-1</v>
      </c>
      <c r="L29" s="15">
        <v>-305</v>
      </c>
      <c r="M29" s="16">
        <f>L29/F29</f>
        <v>0.40026246719160102</v>
      </c>
      <c r="N29" s="15">
        <v>17</v>
      </c>
      <c r="O29" s="15">
        <v>285</v>
      </c>
      <c r="P29" s="15">
        <v>302</v>
      </c>
      <c r="Q29" s="17">
        <f t="shared" ref="Q29:S29" si="76">Q30+Q31</f>
        <v>1.9100000000000001</v>
      </c>
      <c r="R29" s="17">
        <f t="shared" si="76"/>
        <v>38.949999999999996</v>
      </c>
      <c r="S29" s="17">
        <f t="shared" si="76"/>
        <v>40.859999999999992</v>
      </c>
      <c r="T29" s="17">
        <v>0</v>
      </c>
      <c r="U29" s="18">
        <f t="shared" si="64"/>
        <v>0.1352980132450331</v>
      </c>
      <c r="V29" s="19">
        <f t="shared" si="65"/>
        <v>0.13666666666666666</v>
      </c>
      <c r="W29" s="19">
        <f t="shared" si="66"/>
        <v>0.1123529411764706</v>
      </c>
      <c r="X29" s="20">
        <v>0.09</v>
      </c>
      <c r="Y29" s="20">
        <f>Q29+R29+T29+X29</f>
        <v>40.950000000000003</v>
      </c>
      <c r="Z29" s="21">
        <v>0</v>
      </c>
      <c r="AA29" s="21">
        <v>40.950000000000003</v>
      </c>
      <c r="AB29" s="17">
        <v>106.04</v>
      </c>
      <c r="AC29" s="17">
        <v>-30.72</v>
      </c>
      <c r="AD29" s="17">
        <v>6.77</v>
      </c>
      <c r="AE29" s="20">
        <v>82.09</v>
      </c>
      <c r="AF29" s="17">
        <v>10</v>
      </c>
      <c r="AG29" s="17">
        <v>11.82</v>
      </c>
      <c r="AH29" s="17">
        <v>0</v>
      </c>
      <c r="AI29" s="17">
        <f t="shared" si="67"/>
        <v>21.82</v>
      </c>
      <c r="AJ29" s="15">
        <v>0</v>
      </c>
      <c r="AK29" s="22">
        <f>AA29+AI29+AJ29</f>
        <v>62.77</v>
      </c>
      <c r="AL29" s="15">
        <f t="shared" ref="AL29:AM29" si="77">AS29-AO29</f>
        <v>592</v>
      </c>
      <c r="AM29" s="15">
        <f t="shared" si="77"/>
        <v>242</v>
      </c>
      <c r="AN29" s="15">
        <v>834</v>
      </c>
      <c r="AO29" s="15">
        <f t="shared" si="69"/>
        <v>-456</v>
      </c>
      <c r="AP29" s="15">
        <f t="shared" si="69"/>
        <v>-1</v>
      </c>
      <c r="AQ29" s="15">
        <v>-457</v>
      </c>
      <c r="AR29" s="16">
        <f>AQ29/F29</f>
        <v>0.59973753280839892</v>
      </c>
      <c r="AS29" s="15">
        <f t="shared" ref="AS29:AT29" si="78">AS30+AS31</f>
        <v>136</v>
      </c>
      <c r="AT29" s="15">
        <f t="shared" si="78"/>
        <v>241</v>
      </c>
      <c r="AU29" s="15">
        <f t="shared" si="70"/>
        <v>377</v>
      </c>
      <c r="AV29" s="17">
        <f t="shared" ref="AV29:AW29" si="79">AV30+AV31</f>
        <v>15.293426873</v>
      </c>
      <c r="AW29" s="17">
        <f t="shared" si="79"/>
        <v>32.941085250999997</v>
      </c>
      <c r="AX29" s="17">
        <f t="shared" si="71"/>
        <v>48.234512123999998</v>
      </c>
      <c r="AY29" s="17">
        <v>0</v>
      </c>
      <c r="AZ29" s="17">
        <v>0.11</v>
      </c>
      <c r="BA29" s="20">
        <f t="shared" si="72"/>
        <v>48.344512123999998</v>
      </c>
      <c r="BB29" s="21">
        <v>0</v>
      </c>
      <c r="BC29" s="21">
        <f>BA29</f>
        <v>48.344512123999998</v>
      </c>
      <c r="BD29" s="20">
        <v>11.82</v>
      </c>
      <c r="BE29" s="17">
        <v>0</v>
      </c>
      <c r="BF29" s="22">
        <f t="shared" si="73"/>
        <v>60.164512123999998</v>
      </c>
    </row>
    <row r="30" spans="1:58" ht="14.25" customHeight="1" x14ac:dyDescent="0.2">
      <c r="A30" s="8"/>
      <c r="B30" s="50"/>
      <c r="C30" s="36" t="s">
        <v>39</v>
      </c>
      <c r="D30" s="36">
        <f>ROUND(J30/M29,0)</f>
        <v>-597</v>
      </c>
      <c r="E30" s="36">
        <f>ROUND(K30/M29,0)</f>
        <v>-2</v>
      </c>
      <c r="F30" s="36"/>
      <c r="G30" s="36">
        <v>268</v>
      </c>
      <c r="H30" s="36">
        <v>204</v>
      </c>
      <c r="I30" s="36"/>
      <c r="J30" s="36">
        <v>-239</v>
      </c>
      <c r="K30" s="36">
        <v>-1</v>
      </c>
      <c r="L30" s="36"/>
      <c r="M30" s="38"/>
      <c r="N30" s="64">
        <v>14.166700000000001</v>
      </c>
      <c r="O30" s="64">
        <v>237.5</v>
      </c>
      <c r="P30" s="36"/>
      <c r="Q30" s="39">
        <v>1.58</v>
      </c>
      <c r="R30" s="39">
        <v>32.159999999999997</v>
      </c>
      <c r="S30" s="39">
        <f t="shared" ref="S30:S31" si="80">Q30+R30</f>
        <v>33.739999999999995</v>
      </c>
      <c r="T30" s="36"/>
      <c r="U30" s="36"/>
      <c r="V30" s="36"/>
      <c r="W30" s="36"/>
      <c r="X30" s="36"/>
      <c r="Y30" s="36"/>
      <c r="Z30" s="36"/>
      <c r="AA30" s="36"/>
      <c r="AB30" s="39"/>
      <c r="AC30" s="39"/>
      <c r="AD30" s="39"/>
      <c r="AE30" s="39"/>
      <c r="AF30" s="36"/>
      <c r="AG30" s="39"/>
      <c r="AH30" s="39"/>
      <c r="AI30" s="39"/>
      <c r="AJ30" s="39"/>
      <c r="AK30" s="39"/>
      <c r="AL30" s="63">
        <f>AS30-AO30</f>
        <v>471.33330000000001</v>
      </c>
      <c r="AM30" s="63">
        <f>AT30-AP30</f>
        <v>201.83330000000001</v>
      </c>
      <c r="AN30" s="36"/>
      <c r="AO30" s="36">
        <f t="shared" si="69"/>
        <v>-358</v>
      </c>
      <c r="AP30" s="36">
        <f t="shared" si="69"/>
        <v>-1</v>
      </c>
      <c r="AQ30" s="38"/>
      <c r="AR30" s="38"/>
      <c r="AS30" s="36">
        <v>113.33329999999999</v>
      </c>
      <c r="AT30" s="36">
        <v>200.83330000000001</v>
      </c>
      <c r="AU30" s="36">
        <f t="shared" si="70"/>
        <v>314.16660000000002</v>
      </c>
      <c r="AV30" s="39">
        <f>AS30*0.11142</f>
        <v>12.627596285999999</v>
      </c>
      <c r="AW30" s="39">
        <f>AT30*0.13543</f>
        <v>27.198853819</v>
      </c>
      <c r="AX30" s="39"/>
      <c r="AY30" s="39"/>
      <c r="AZ30" s="39"/>
      <c r="BA30" s="39"/>
      <c r="BB30" s="39"/>
      <c r="BC30" s="39"/>
      <c r="BD30" s="39"/>
      <c r="BE30" s="39"/>
      <c r="BF30" s="39"/>
    </row>
    <row r="31" spans="1:58" ht="14.25" customHeight="1" x14ac:dyDescent="0.2">
      <c r="A31" s="8"/>
      <c r="B31" s="50"/>
      <c r="C31" s="36" t="s">
        <v>40</v>
      </c>
      <c r="D31" s="36">
        <f>ROUND(J31/M29,0)</f>
        <v>-162</v>
      </c>
      <c r="E31" s="36">
        <f>ROUND(K31/M29,0)</f>
        <v>0</v>
      </c>
      <c r="F31" s="36"/>
      <c r="G31" s="36">
        <v>53</v>
      </c>
      <c r="H31" s="36">
        <v>82</v>
      </c>
      <c r="I31" s="36"/>
      <c r="J31" s="36">
        <v>-65</v>
      </c>
      <c r="K31" s="36">
        <v>0</v>
      </c>
      <c r="L31" s="36"/>
      <c r="M31" s="38"/>
      <c r="N31" s="64">
        <v>2.8332999999999999</v>
      </c>
      <c r="O31" s="64">
        <v>47.5</v>
      </c>
      <c r="P31" s="36"/>
      <c r="Q31" s="39">
        <v>0.33</v>
      </c>
      <c r="R31" s="39">
        <v>6.79</v>
      </c>
      <c r="S31" s="39">
        <f t="shared" si="80"/>
        <v>7.12</v>
      </c>
      <c r="T31" s="36"/>
      <c r="U31" s="36"/>
      <c r="V31" s="36"/>
      <c r="W31" s="36"/>
      <c r="X31" s="36"/>
      <c r="Y31" s="36"/>
      <c r="Z31" s="36"/>
      <c r="AA31" s="36"/>
      <c r="AB31" s="39"/>
      <c r="AC31" s="39"/>
      <c r="AD31" s="39"/>
      <c r="AE31" s="36"/>
      <c r="AF31" s="36"/>
      <c r="AG31" s="39"/>
      <c r="AH31" s="39"/>
      <c r="AI31" s="39"/>
      <c r="AJ31" s="39"/>
      <c r="AK31" s="39"/>
      <c r="AL31" s="63">
        <f>AS31-AO31</f>
        <v>119.66669999999999</v>
      </c>
      <c r="AM31" s="63">
        <f>AT31-AP31</f>
        <v>40.166699999999999</v>
      </c>
      <c r="AN31" s="36"/>
      <c r="AO31" s="36">
        <f t="shared" si="69"/>
        <v>-97</v>
      </c>
      <c r="AP31" s="36">
        <f t="shared" si="69"/>
        <v>0</v>
      </c>
      <c r="AQ31" s="38"/>
      <c r="AR31" s="38"/>
      <c r="AS31" s="36">
        <v>22.666699999999999</v>
      </c>
      <c r="AT31" s="36">
        <v>40.166699999999999</v>
      </c>
      <c r="AU31" s="36">
        <f>AS31+AT31</f>
        <v>62.833399999999997</v>
      </c>
      <c r="AV31" s="39">
        <f>AS31*0.11761</f>
        <v>2.6658305869999999</v>
      </c>
      <c r="AW31" s="39">
        <f>AT31*0.14296</f>
        <v>5.7422314319999996</v>
      </c>
      <c r="AX31" s="39"/>
      <c r="AY31" s="39"/>
      <c r="AZ31" s="39"/>
      <c r="BA31" s="39"/>
      <c r="BB31" s="39"/>
      <c r="BC31" s="39"/>
      <c r="BD31" s="39"/>
      <c r="BE31" s="39"/>
      <c r="BF31" s="39"/>
    </row>
    <row r="32" spans="1:58" ht="14.25" customHeight="1" x14ac:dyDescent="0.2">
      <c r="A32" s="2"/>
      <c r="B32" s="13">
        <v>45753</v>
      </c>
      <c r="C32" s="13">
        <v>45763</v>
      </c>
      <c r="D32" s="15">
        <f>ROUND(J32/M32,0)</f>
        <v>-1082</v>
      </c>
      <c r="E32" s="15">
        <f>ROUND(K32/M32,0)</f>
        <v>-97</v>
      </c>
      <c r="F32" s="15">
        <v>-1179</v>
      </c>
      <c r="G32" s="15">
        <v>265</v>
      </c>
      <c r="H32" s="15">
        <v>213</v>
      </c>
      <c r="I32" s="15">
        <f>H32+G32</f>
        <v>478</v>
      </c>
      <c r="J32" s="15">
        <v>-412</v>
      </c>
      <c r="K32" s="15">
        <v>-37</v>
      </c>
      <c r="L32" s="15">
        <f>K32+J32</f>
        <v>-449</v>
      </c>
      <c r="M32" s="16">
        <f>L32/F32</f>
        <v>0.38083121289228161</v>
      </c>
      <c r="N32" s="15">
        <v>-147</v>
      </c>
      <c r="O32" s="15">
        <v>176</v>
      </c>
      <c r="P32" s="15">
        <v>29</v>
      </c>
      <c r="Q32" s="17">
        <v>-16.38</v>
      </c>
      <c r="R32" s="17">
        <v>23.84</v>
      </c>
      <c r="S32" s="17">
        <f>R32</f>
        <v>23.84</v>
      </c>
      <c r="T32" s="17">
        <v>-1.47</v>
      </c>
      <c r="U32" s="18">
        <f>(ABS(Q32)+ABS(R32))/(ABS(N32)+ABS(O32))</f>
        <v>0.12452012383900929</v>
      </c>
      <c r="V32" s="19">
        <f>ABS(R32)/ABS(O32)</f>
        <v>0.13545454545454547</v>
      </c>
      <c r="W32" s="19">
        <f>Q32/N32</f>
        <v>0.11142857142857142</v>
      </c>
      <c r="X32" s="20">
        <v>0.18</v>
      </c>
      <c r="Y32" s="20">
        <f>Q32+R32+T32+X32</f>
        <v>6.1700000000000008</v>
      </c>
      <c r="Z32" s="21">
        <v>0</v>
      </c>
      <c r="AA32" s="21">
        <v>6</v>
      </c>
      <c r="AB32" s="17">
        <v>0</v>
      </c>
      <c r="AC32" s="17">
        <v>0</v>
      </c>
      <c r="AD32" s="17">
        <v>0</v>
      </c>
      <c r="AE32" s="20">
        <v>236.95</v>
      </c>
      <c r="AF32" s="17">
        <v>10</v>
      </c>
      <c r="AG32" s="17">
        <v>12.5</v>
      </c>
      <c r="AH32" s="17">
        <v>236.95</v>
      </c>
      <c r="AI32" s="17">
        <f>AF32+AG32+AH32</f>
        <v>259.45</v>
      </c>
      <c r="AJ32" s="17">
        <v>-58.23</v>
      </c>
      <c r="AK32" s="22">
        <f>AA32+AI32+AJ32</f>
        <v>207.22</v>
      </c>
      <c r="AL32" s="15">
        <f t="shared" ref="AL32:AM32" si="81">AS32-AO32</f>
        <v>582</v>
      </c>
      <c r="AM32" s="15">
        <f t="shared" si="81"/>
        <v>212</v>
      </c>
      <c r="AN32" s="15">
        <v>794</v>
      </c>
      <c r="AO32" s="15">
        <f t="shared" ref="AO32:AP32" si="82">D32-J32</f>
        <v>-670</v>
      </c>
      <c r="AP32" s="15">
        <f t="shared" si="82"/>
        <v>-60</v>
      </c>
      <c r="AQ32" s="15">
        <v>-730</v>
      </c>
      <c r="AR32" s="16">
        <f>AQ32/F32</f>
        <v>0.61916878710771839</v>
      </c>
      <c r="AS32" s="15">
        <v>-88</v>
      </c>
      <c r="AT32" s="15">
        <v>152</v>
      </c>
      <c r="AU32" s="15">
        <f>AT32+AS32</f>
        <v>64</v>
      </c>
      <c r="AV32" s="17">
        <v>-9.8000000000000007</v>
      </c>
      <c r="AW32" s="17">
        <v>20.59</v>
      </c>
      <c r="AX32" s="17">
        <f>AW32+AV32</f>
        <v>10.79</v>
      </c>
      <c r="AY32" s="17">
        <v>-0.88</v>
      </c>
      <c r="AZ32" s="17">
        <v>0.02</v>
      </c>
      <c r="BA32" s="20">
        <f>AZ32+AY32+AX32</f>
        <v>9.93</v>
      </c>
      <c r="BB32" s="21">
        <v>0</v>
      </c>
      <c r="BC32" s="21">
        <v>9.93</v>
      </c>
      <c r="BD32" s="20">
        <v>369.51</v>
      </c>
      <c r="BE32" s="17">
        <v>-58.23</v>
      </c>
      <c r="BF32" s="22">
        <f>BD32+BC32+BE32</f>
        <v>321.20999999999998</v>
      </c>
    </row>
    <row r="33" spans="16:31" ht="14.25" customHeight="1" x14ac:dyDescent="0.2">
      <c r="Z33" s="9"/>
      <c r="AE33" s="9"/>
    </row>
    <row r="34" spans="16:31" ht="14.25" customHeight="1" x14ac:dyDescent="0.2">
      <c r="V34" s="9"/>
      <c r="W34" s="9"/>
      <c r="X34" s="9"/>
      <c r="Y34" s="9"/>
    </row>
    <row r="35" spans="16:31" ht="14.25" customHeight="1" x14ac:dyDescent="0.2">
      <c r="P35" s="66"/>
      <c r="AA35" s="10"/>
      <c r="AB35" s="10"/>
    </row>
    <row r="36" spans="16:31" ht="14.25" customHeight="1" x14ac:dyDescent="0.2">
      <c r="T36" s="11"/>
      <c r="Z36" s="9"/>
      <c r="AA36" s="12"/>
      <c r="AB36" s="9"/>
    </row>
    <row r="37" spans="16:31" ht="14.25" customHeight="1" x14ac:dyDescent="0.2">
      <c r="P37" s="9"/>
      <c r="T37" s="11"/>
      <c r="AA37" s="12"/>
      <c r="AB37" s="9"/>
    </row>
    <row r="38" spans="16:31" ht="14.25" customHeight="1" x14ac:dyDescent="0.2"/>
    <row r="39" spans="16:31" ht="14.25" customHeight="1" x14ac:dyDescent="0.2">
      <c r="T39" s="11"/>
    </row>
    <row r="40" spans="16:31" ht="14.25" customHeight="1" x14ac:dyDescent="0.2"/>
    <row r="41" spans="16:31" ht="14.25" customHeight="1" x14ac:dyDescent="0.2">
      <c r="T41" s="11"/>
      <c r="AA41" s="9"/>
      <c r="AB41" s="9"/>
    </row>
    <row r="42" spans="16:31" ht="14.25" customHeight="1" x14ac:dyDescent="0.2"/>
    <row r="43" spans="16:31" ht="14.25" customHeight="1" x14ac:dyDescent="0.2">
      <c r="AA43" s="9"/>
      <c r="AB43" s="9"/>
    </row>
    <row r="44" spans="16:31" ht="14.25" customHeight="1" x14ac:dyDescent="0.2">
      <c r="AA44" s="9"/>
      <c r="AB44" s="9"/>
    </row>
    <row r="45" spans="16:31" ht="14.25" customHeight="1" x14ac:dyDescent="0.2"/>
    <row r="46" spans="16:31" ht="14.25" customHeight="1" x14ac:dyDescent="0.2"/>
    <row r="47" spans="16:31" ht="14.25" customHeight="1" x14ac:dyDescent="0.2"/>
    <row r="48" spans="16:3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</sheetData>
  <mergeCells count="14">
    <mergeCell ref="B3:C3"/>
    <mergeCell ref="D2:AK2"/>
    <mergeCell ref="AL2:BF2"/>
    <mergeCell ref="AO3:AR3"/>
    <mergeCell ref="AS3:AU3"/>
    <mergeCell ref="AV3:BC3"/>
    <mergeCell ref="D3:F3"/>
    <mergeCell ref="G3:I3"/>
    <mergeCell ref="J3:M3"/>
    <mergeCell ref="N3:P3"/>
    <mergeCell ref="AB3:AI3"/>
    <mergeCell ref="AL3:AN3"/>
    <mergeCell ref="Q3:AA3"/>
    <mergeCell ref="B2:C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D786-67CD-48BA-9E19-B5E9139740C0}">
  <dimension ref="F5:G9"/>
  <sheetViews>
    <sheetView workbookViewId="0">
      <selection activeCell="G7" sqref="G7"/>
    </sheetView>
  </sheetViews>
  <sheetFormatPr baseColWidth="10" defaultColWidth="8.83203125" defaultRowHeight="15" x14ac:dyDescent="0.2"/>
  <sheetData>
    <row r="5" spans="6:7" x14ac:dyDescent="0.2">
      <c r="F5">
        <v>-650</v>
      </c>
    </row>
    <row r="6" spans="6:7" x14ac:dyDescent="0.2">
      <c r="F6">
        <v>-802</v>
      </c>
      <c r="G6">
        <f>F6+F5</f>
        <v>-1452</v>
      </c>
    </row>
    <row r="8" spans="6:7" x14ac:dyDescent="0.2">
      <c r="F8">
        <v>-1601</v>
      </c>
    </row>
    <row r="9" spans="6:7" x14ac:dyDescent="0.2">
      <c r="F9">
        <v>149</v>
      </c>
      <c r="G9">
        <f>F9+F8</f>
        <v>-1452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Lowe</dc:creator>
  <cp:lastModifiedBy>Kevin Lowe</cp:lastModifiedBy>
  <dcterms:created xsi:type="dcterms:W3CDTF">2025-03-10T00:33:46Z</dcterms:created>
  <dcterms:modified xsi:type="dcterms:W3CDTF">2026-03-05T06:19:52Z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2025-03-10T04:00:38Z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48ef2b57-e397-4d7e-8d72-5b3bfb5179ba</vt:lpwstr>
  </property>
  <property fmtid="{D5CDD505-2E9C-101B-9397-08002B2CF9AE}" pid="8" name="MSIP_Label_52d06e56-1756-4005-87f1-1edc72dd4bdf_ContentBits">
    <vt:lpwstr>0</vt:lpwstr>
  </property>
</Properties>
</file>